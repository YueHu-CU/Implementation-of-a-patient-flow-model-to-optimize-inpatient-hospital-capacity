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codeName="ThisWorkbook" defaultThemeVersion="166925"/>
  <mc:AlternateContent xmlns:mc="http://schemas.openxmlformats.org/markup-compatibility/2006">
    <mc:Choice Requires="x15">
      <x15ac:absPath xmlns:x15ac="http://schemas.microsoft.com/office/spreadsheetml/2010/11/ac" url="C:\Users\YH\Desktop\"/>
    </mc:Choice>
  </mc:AlternateContent>
  <xr:revisionPtr revIDLastSave="0" documentId="13_ncr:1_{43B87350-AB81-4E89-A79F-F5697820F573}" xr6:coauthVersionLast="45" xr6:coauthVersionMax="45" xr10:uidLastSave="{00000000-0000-0000-0000-000000000000}"/>
  <bookViews>
    <workbookView xWindow="-110" yWindow="-110" windowWidth="19420" windowHeight="10420" activeTab="1" xr2:uid="{00000000-000D-0000-FFFF-FFFF00000000}"/>
  </bookViews>
  <sheets>
    <sheet name="Instructions" sheetId="3" r:id="rId1"/>
    <sheet name="Model" sheetId="1" r:id="rId2"/>
    <sheet name="Parameter" sheetId="5" state="hidden" r:id="rId3"/>
    <sheet name="SimulationFit" sheetId="8" state="hidden" r:id="rId4"/>
    <sheet name="SimulationFit_Weekend" sheetId="9" state="veryHidden" r:id="rId5"/>
  </sheets>
  <functionGroups builtInGroupCount="19"/>
  <definedNames>
    <definedName name="LOS">Model!$F$15</definedName>
    <definedName name="LOS_Input">Model!$D$16</definedName>
    <definedName name="rho_eff">Model!$F$9</definedName>
    <definedName name="simulation_avg_delay">Model!$G$9</definedName>
    <definedName name="simulation_max_delay">Model!$G$15</definedName>
    <definedName name="simulation_peak_hour_delay">Model!$G$12</definedName>
    <definedName name="simulation_percent_delayed">Model!$H$9</definedName>
    <definedName name="simulation_progress">Model!$H$3</definedName>
    <definedName name="simulation_waiting_1hr">Model!$H$12</definedName>
    <definedName name="simulation_waiting_2hr">Model!$H$15</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B32" i="1" l="1"/>
  <c r="C32" i="1"/>
</calcChain>
</file>

<file path=xl/sharedStrings.xml><?xml version="1.0" encoding="utf-8"?>
<sst xmlns="http://schemas.openxmlformats.org/spreadsheetml/2006/main" count="122" uniqueCount="43">
  <si>
    <t>Hour</t>
  </si>
  <si>
    <t>Discharge Density (percentage/hour)</t>
  </si>
  <si>
    <t>Number of Beds</t>
  </si>
  <si>
    <t>Request Rate (number/day)</t>
  </si>
  <si>
    <t>Choose Unit Type</t>
  </si>
  <si>
    <t>INPUT PARAMETERS</t>
  </si>
  <si>
    <t>Traffic Intensity</t>
  </si>
  <si>
    <t>Choose Day-of-Week Type</t>
  </si>
  <si>
    <t>Delayed Patients (%)</t>
  </si>
  <si>
    <t>Patients Waiting &gt; 1 hr (%)</t>
  </si>
  <si>
    <t>Patients Waiting &gt; 2 hr (%)</t>
  </si>
  <si>
    <t>Patient Delay Time</t>
  </si>
  <si>
    <t>Request Rate (number/hour)</t>
  </si>
  <si>
    <t>Avg Delay</t>
  </si>
  <si>
    <t>Avg Daily Max Delay</t>
  </si>
  <si>
    <t>%Delayed</t>
  </si>
  <si>
    <t>%Delayed &gt; 1hr</t>
  </si>
  <si>
    <t>%Delayed &gt; 2hr</t>
  </si>
  <si>
    <t>Average Delay (min)</t>
  </si>
  <si>
    <t>Daily Maximum Delay (min)</t>
  </si>
  <si>
    <t xml:space="preserve">1) If not specified, the above statistics are reported in averages. </t>
  </si>
  <si>
    <t>Percent of Delayed Patients</t>
  </si>
  <si>
    <t>Occupancy Level</t>
  </si>
  <si>
    <t>Average Occupancy Level</t>
  </si>
  <si>
    <t>Choose Year</t>
  </si>
  <si>
    <r>
      <t>2) Plots below use</t>
    </r>
    <r>
      <rPr>
        <b/>
        <sz val="13"/>
        <color theme="5"/>
        <rFont val="Cambria"/>
        <family val="1"/>
      </rPr>
      <t xml:space="preserve"> </t>
    </r>
    <r>
      <rPr>
        <b/>
        <sz val="13"/>
        <rFont val="Cambria"/>
        <family val="1"/>
      </rPr>
      <t>&lt;yellow diamonds&gt;</t>
    </r>
    <r>
      <rPr>
        <sz val="13"/>
        <color theme="1"/>
        <rFont val="Cambria"/>
        <family val="1"/>
      </rPr>
      <t xml:space="preserve"> to denote the relative system performance under current parameters compared to possible non_trivial performance spectrum.</t>
    </r>
  </si>
  <si>
    <t>General Medicine (Weekdays)</t>
  </si>
  <si>
    <t>General Medicine (Weekend)</t>
  </si>
  <si>
    <t>Cardiology 10G &amp; 8SE (Weekdays)</t>
  </si>
  <si>
    <t>Cardiology 10G &amp; 8SE (Weekends)</t>
  </si>
  <si>
    <t>Cardiology 10G (Weekends)</t>
  </si>
  <si>
    <t>Cardiology 10G (Weekdays)</t>
  </si>
  <si>
    <t>Observation (Weekdays)</t>
  </si>
  <si>
    <t>Observation (Weekends)</t>
  </si>
  <si>
    <t>Plot X Axis_Cardiology10G&amp;8SE</t>
  </si>
  <si>
    <t>Plot X Axis_Cardiology10G</t>
  </si>
  <si>
    <t>Plot X Axis_Observation</t>
  </si>
  <si>
    <t>Plot X Axis_GeneralMedicine</t>
  </si>
  <si>
    <t>% Compound Annual Increase in Bed Request Rate</t>
  </si>
  <si>
    <t>PeakDelay</t>
  </si>
  <si>
    <t>Peak-Hour Delay (min)</t>
  </si>
  <si>
    <t>Sum</t>
  </si>
  <si>
    <t>Average LOS (days)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</si>
</sst>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
    <numFmt numFmtId="166" formatCode="0.0"/>
  </numFmts>
  <fonts count="11" x14ac:knownFonts="1">
    <font>
      <sz val="11"/>
      <color theme="1"/>
      <name val="Calibri"/>
      <family val="2"/>
      <scheme val="minor"/>
    </font>
    <font>
      <sz val="12"/>
      <color theme="1"/>
      <name val="Times New Roman"/>
      <family val="1"/>
    </font>
    <font>
      <sz val="12"/>
      <color theme="1"/>
      <name val="Calibri"/>
      <family val="2"/>
      <scheme val="minor"/>
    </font>
    <font>
      <b/>
      <sz val="12"/>
      <color theme="1"/>
      <name val="Cambria"/>
      <family val="1"/>
    </font>
    <font>
      <sz val="12"/>
      <color theme="1"/>
      <name val="Cambria"/>
      <family val="1"/>
    </font>
    <font>
      <sz val="11"/>
      <color theme="1"/>
      <name val="Calibri"/>
      <family val="2"/>
      <scheme val="minor"/>
    </font>
    <font>
      <b/>
      <sz val="13"/>
      <color theme="1"/>
      <name val="Cambria"/>
      <family val="1"/>
    </font>
    <font>
      <b/>
      <u/>
      <sz val="14"/>
      <color theme="1"/>
      <name val="Cambria"/>
      <family val="1"/>
    </font>
    <font>
      <sz val="13"/>
      <color theme="1"/>
      <name val="Cambria"/>
      <family val="1"/>
    </font>
    <font>
      <b/>
      <sz val="13"/>
      <name val="Cambria"/>
      <family val="1"/>
    </font>
    <font>
      <b/>
      <sz val="13"/>
      <color theme="5"/>
      <name val="Cambria"/>
      <family val="1"/>
    </font>
  </fonts>
  <fills count="7">
    <fill>
      <patternFill patternType="none"/>
    </fill>
    <fill>
      <patternFill patternType="gray125"/>
    </fill>
    <fill>
      <patternFill patternType="solid">
        <fgColor theme="0"/>
        <bgColor indexed="64"/>
      </patternFill>
    </fill>
    <fill>
      <patternFill patternType="solid">
        <fgColor theme="8" tint="0.79998168889431442"/>
        <bgColor indexed="64"/>
      </patternFill>
    </fill>
    <fill>
      <patternFill patternType="solid">
        <fgColor theme="4" tint="0.39997558519241921"/>
        <bgColor indexed="64"/>
      </patternFill>
    </fill>
    <fill>
      <patternFill patternType="solid">
        <fgColor rgb="FFEEAF5C"/>
        <bgColor indexed="64"/>
      </patternFill>
    </fill>
    <fill>
      <patternFill patternType="solid">
        <fgColor theme="0" tint="-0.249977111117893"/>
        <bgColor indexed="64"/>
      </patternFill>
    </fill>
  </fills>
  <borders count="17">
    <border>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ck">
        <color indexed="64"/>
      </right>
      <top/>
      <bottom/>
      <diagonal/>
    </border>
    <border>
      <left/>
      <right style="thin">
        <color indexed="64"/>
      </right>
      <top style="thin">
        <color indexed="64"/>
      </top>
      <bottom/>
      <diagonal/>
    </border>
    <border>
      <left/>
      <right/>
      <top/>
      <bottom style="thin">
        <color indexed="64"/>
      </bottom>
      <diagonal/>
    </border>
    <border>
      <left/>
      <right style="thick">
        <color indexed="64"/>
      </right>
      <top/>
      <bottom style="thin">
        <color indexed="64"/>
      </bottom>
      <diagonal/>
    </border>
    <border>
      <left/>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
      <left style="thin">
        <color indexed="64"/>
      </left>
      <right style="thin">
        <color indexed="64"/>
      </right>
      <top style="thin">
        <color indexed="64"/>
      </top>
      <bottom style="thin">
        <color indexed="64"/>
      </bottom>
      <diagonal/>
    </border>
    <border>
      <left style="thin">
        <color indexed="64"/>
      </left>
      <right style="thick">
        <color auto="1"/>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2">
    <xf numFmtId="0" fontId="0" fillId="0" borderId="0"/>
    <xf numFmtId="9" fontId="5" fillId="0" borderId="0" applyFont="0" applyFill="0" applyBorder="0" applyAlignment="0" applyProtection="0"/>
  </cellStyleXfs>
  <cellXfs count="87">
    <xf numFmtId="0" fontId="0" fillId="0" borderId="0" xfId="0"/>
    <xf numFmtId="0" fontId="3" fillId="0" borderId="0" xfId="0" applyFont="1" applyFill="1" applyBorder="1" applyAlignment="1">
      <alignment horizontal="center" vertical="center" wrapText="1"/>
    </xf>
    <xf numFmtId="0" fontId="2" fillId="0" borderId="0" xfId="0" applyFont="1" applyAlignment="1">
      <alignment horizontal="center" vertical="center"/>
    </xf>
    <xf numFmtId="164" fontId="4" fillId="0" borderId="0" xfId="0" applyNumberFormat="1" applyFont="1" applyFill="1" applyBorder="1" applyAlignment="1">
      <alignment horizontal="center" vertical="center"/>
    </xf>
    <xf numFmtId="0" fontId="4" fillId="0" borderId="0" xfId="0" applyFont="1" applyFill="1" applyBorder="1" applyAlignment="1">
      <alignment horizontal="center" vertical="center"/>
    </xf>
    <xf numFmtId="0" fontId="2" fillId="0" borderId="0" xfId="0" applyFont="1" applyBorder="1" applyAlignment="1">
      <alignment horizontal="center" vertical="center"/>
    </xf>
    <xf numFmtId="0" fontId="0" fillId="0" borderId="0" xfId="0" applyBorder="1" applyAlignment="1">
      <alignment vertical="center"/>
    </xf>
    <xf numFmtId="0" fontId="4" fillId="0" borderId="0" xfId="0" applyFont="1" applyBorder="1" applyAlignment="1">
      <alignment horizontal="center" vertical="center"/>
    </xf>
    <xf numFmtId="0" fontId="4" fillId="0" borderId="0" xfId="0" applyFont="1" applyBorder="1" applyAlignment="1">
      <alignment vertical="top" wrapText="1"/>
    </xf>
    <xf numFmtId="0" fontId="0" fillId="0" borderId="0" xfId="0" applyBorder="1"/>
    <xf numFmtId="0" fontId="1" fillId="0" borderId="0" xfId="0" applyFont="1" applyBorder="1" applyAlignment="1">
      <alignment horizontal="center" vertical="center"/>
    </xf>
    <xf numFmtId="0" fontId="3" fillId="0" borderId="0" xfId="0" applyFont="1" applyBorder="1" applyAlignment="1">
      <alignment vertical="center"/>
    </xf>
    <xf numFmtId="0" fontId="1" fillId="0" borderId="3" xfId="0" applyFont="1" applyBorder="1" applyAlignment="1">
      <alignment horizontal="center" vertical="center"/>
    </xf>
    <xf numFmtId="0" fontId="7" fillId="0" borderId="2" xfId="0" applyFont="1" applyBorder="1" applyAlignment="1">
      <alignment horizontal="center" vertical="center"/>
    </xf>
    <xf numFmtId="0" fontId="1" fillId="2" borderId="0" xfId="0" applyFont="1" applyFill="1" applyBorder="1" applyAlignment="1">
      <alignment horizontal="center" vertical="center"/>
    </xf>
    <xf numFmtId="0" fontId="6" fillId="2" borderId="0" xfId="0" applyFont="1" applyFill="1" applyBorder="1" applyAlignment="1">
      <alignment horizontal="center" vertical="center"/>
    </xf>
    <xf numFmtId="0" fontId="4" fillId="2" borderId="0" xfId="0" applyFont="1" applyFill="1" applyBorder="1" applyAlignment="1">
      <alignment horizontal="center" vertical="center"/>
    </xf>
    <xf numFmtId="0" fontId="8" fillId="0" borderId="3" xfId="0" applyFont="1" applyBorder="1" applyAlignment="1">
      <alignment horizontal="center" vertical="center"/>
    </xf>
    <xf numFmtId="0" fontId="8" fillId="0" borderId="3" xfId="0" applyFont="1" applyFill="1" applyBorder="1" applyAlignment="1">
      <alignment horizontal="center" vertical="center" wrapText="1"/>
    </xf>
    <xf numFmtId="0" fontId="1" fillId="0" borderId="4" xfId="0" applyFont="1" applyBorder="1" applyAlignment="1">
      <alignment horizontal="center" vertical="center"/>
    </xf>
    <xf numFmtId="0" fontId="4" fillId="0" borderId="4" xfId="0" applyFont="1" applyFill="1" applyBorder="1" applyAlignment="1">
      <alignment horizontal="center" vertical="center"/>
    </xf>
    <xf numFmtId="0" fontId="1" fillId="0" borderId="0" xfId="0" applyFont="1" applyBorder="1" applyAlignment="1">
      <alignment horizontal="center" vertical="center"/>
    </xf>
    <xf numFmtId="0" fontId="8" fillId="0" borderId="0" xfId="0" applyFont="1" applyBorder="1" applyAlignment="1">
      <alignment vertical="top" wrapText="1"/>
    </xf>
    <xf numFmtId="0" fontId="4" fillId="0" borderId="0" xfId="0" applyFont="1" applyBorder="1" applyAlignment="1">
      <alignment horizontal="left" vertical="center"/>
    </xf>
    <xf numFmtId="0" fontId="8" fillId="0" borderId="0" xfId="0" applyFont="1" applyBorder="1" applyAlignment="1">
      <alignment horizontal="center" vertical="center"/>
    </xf>
    <xf numFmtId="0" fontId="1" fillId="0" borderId="0" xfId="0" applyFont="1" applyBorder="1" applyAlignment="1">
      <alignment horizontal="left" vertical="center"/>
    </xf>
    <xf numFmtId="165" fontId="6" fillId="3" borderId="3" xfId="1" applyNumberFormat="1" applyFont="1" applyFill="1" applyBorder="1" applyAlignment="1">
      <alignment horizontal="center" vertical="center"/>
    </xf>
    <xf numFmtId="0" fontId="3" fillId="0" borderId="0" xfId="0" applyFont="1" applyFill="1" applyBorder="1" applyAlignment="1">
      <alignment horizontal="center" vertical="center" wrapText="1"/>
    </xf>
    <xf numFmtId="0" fontId="3" fillId="0" borderId="0" xfId="0" applyFont="1" applyBorder="1" applyAlignment="1">
      <alignment horizontal="center" vertical="center"/>
    </xf>
    <xf numFmtId="0" fontId="3" fillId="0" borderId="0" xfId="0" applyFont="1" applyFill="1" applyBorder="1" applyAlignment="1">
      <alignment horizontal="center" vertical="center"/>
    </xf>
    <xf numFmtId="0" fontId="8" fillId="0" borderId="0" xfId="0" applyFont="1" applyBorder="1" applyAlignment="1">
      <alignment horizontal="center" vertical="center" wrapText="1"/>
    </xf>
    <xf numFmtId="1" fontId="8" fillId="0" borderId="0" xfId="0" applyNumberFormat="1" applyFont="1" applyBorder="1" applyAlignment="1">
      <alignment horizontal="center" vertical="center"/>
    </xf>
    <xf numFmtId="0" fontId="3" fillId="2" borderId="0" xfId="0" applyFont="1" applyFill="1" applyBorder="1" applyAlignment="1">
      <alignment horizontal="center" vertical="center" wrapText="1"/>
    </xf>
    <xf numFmtId="0" fontId="7" fillId="0" borderId="3" xfId="0" applyFont="1" applyBorder="1" applyAlignment="1">
      <alignment horizontal="center" vertical="center"/>
    </xf>
    <xf numFmtId="0" fontId="7" fillId="0" borderId="5" xfId="0" applyFont="1" applyBorder="1" applyAlignment="1">
      <alignment horizontal="center" vertical="center"/>
    </xf>
    <xf numFmtId="0" fontId="2" fillId="0" borderId="1" xfId="0" applyFont="1" applyBorder="1" applyAlignment="1">
      <alignment horizontal="center" vertical="center"/>
    </xf>
    <xf numFmtId="0" fontId="8" fillId="0" borderId="1" xfId="0" applyFont="1" applyBorder="1" applyAlignment="1">
      <alignment horizontal="center" vertical="center"/>
    </xf>
    <xf numFmtId="9" fontId="2" fillId="0" borderId="1" xfId="0" applyNumberFormat="1" applyFont="1" applyBorder="1" applyAlignment="1">
      <alignment horizontal="center" vertical="center"/>
    </xf>
    <xf numFmtId="9" fontId="8" fillId="0" borderId="1" xfId="0" applyNumberFormat="1" applyFont="1" applyBorder="1" applyAlignment="1">
      <alignment horizontal="center" vertical="center"/>
    </xf>
    <xf numFmtId="9" fontId="9" fillId="3" borderId="1" xfId="1" applyNumberFormat="1" applyFont="1" applyFill="1" applyBorder="1" applyAlignment="1">
      <alignment horizontal="center" vertical="center"/>
    </xf>
    <xf numFmtId="9" fontId="6" fillId="3" borderId="1" xfId="1" applyNumberFormat="1" applyFont="1" applyFill="1" applyBorder="1" applyAlignment="1">
      <alignment horizontal="center" vertical="center"/>
    </xf>
    <xf numFmtId="10" fontId="4" fillId="0" borderId="4" xfId="1" applyNumberFormat="1" applyFont="1" applyFill="1" applyBorder="1" applyAlignment="1">
      <alignment horizontal="center" vertical="center"/>
    </xf>
    <xf numFmtId="2" fontId="0" fillId="0" borderId="0" xfId="0" applyNumberFormat="1"/>
    <xf numFmtId="0" fontId="4" fillId="0" borderId="0" xfId="0" applyFont="1"/>
    <xf numFmtId="164" fontId="4" fillId="0" borderId="0" xfId="0" applyNumberFormat="1" applyFont="1" applyAlignment="1">
      <alignment horizontal="center"/>
    </xf>
    <xf numFmtId="0" fontId="4" fillId="0" borderId="0" xfId="0" applyFont="1" applyBorder="1"/>
    <xf numFmtId="0" fontId="3" fillId="0" borderId="13" xfId="0" applyFont="1" applyFill="1" applyBorder="1" applyAlignment="1">
      <alignment horizontal="center" vertical="center"/>
    </xf>
    <xf numFmtId="0" fontId="3" fillId="0" borderId="12" xfId="0" applyFont="1" applyFill="1" applyBorder="1" applyAlignment="1">
      <alignment horizontal="center" vertical="center"/>
    </xf>
    <xf numFmtId="0" fontId="3" fillId="0" borderId="0" xfId="0" applyFont="1" applyFill="1" applyBorder="1" applyAlignment="1">
      <alignment horizontal="center" vertical="center" wrapText="1"/>
    </xf>
    <xf numFmtId="164" fontId="0" fillId="0" borderId="0" xfId="0" applyNumberFormat="1"/>
    <xf numFmtId="2" fontId="0" fillId="0" borderId="0" xfId="0" applyNumberFormat="1" applyBorder="1"/>
    <xf numFmtId="164" fontId="4" fillId="0" borderId="0" xfId="0" applyNumberFormat="1" applyFont="1" applyBorder="1" applyAlignment="1">
      <alignment horizontal="center"/>
    </xf>
    <xf numFmtId="164" fontId="4" fillId="0" borderId="4" xfId="0" applyNumberFormat="1" applyFont="1" applyFill="1" applyBorder="1" applyAlignment="1">
      <alignment horizontal="center" vertical="center"/>
    </xf>
    <xf numFmtId="0" fontId="1" fillId="0" borderId="3" xfId="0" applyFont="1" applyFill="1" applyBorder="1" applyAlignment="1">
      <alignment horizontal="center" vertical="center"/>
    </xf>
    <xf numFmtId="0" fontId="1" fillId="0" borderId="16" xfId="0" applyFont="1" applyBorder="1" applyAlignment="1">
      <alignment horizontal="center" vertical="center"/>
    </xf>
    <xf numFmtId="164" fontId="3" fillId="0" borderId="0" xfId="0" applyNumberFormat="1" applyFont="1" applyFill="1" applyBorder="1" applyAlignment="1">
      <alignment horizontal="center" vertical="center"/>
    </xf>
    <xf numFmtId="164" fontId="1" fillId="2" borderId="0" xfId="0" applyNumberFormat="1" applyFont="1" applyFill="1" applyBorder="1" applyAlignment="1">
      <alignment horizontal="center" vertical="center"/>
    </xf>
    <xf numFmtId="164" fontId="1" fillId="0" borderId="0" xfId="0" applyNumberFormat="1" applyFont="1" applyBorder="1" applyAlignment="1">
      <alignment horizontal="center" vertical="center"/>
    </xf>
    <xf numFmtId="164" fontId="4" fillId="0" borderId="0" xfId="0" applyNumberFormat="1" applyFont="1" applyBorder="1" applyAlignment="1">
      <alignment horizontal="center" vertical="center"/>
    </xf>
    <xf numFmtId="0" fontId="3" fillId="0" borderId="4" xfId="0" applyFont="1" applyFill="1" applyBorder="1" applyAlignment="1">
      <alignment horizontal="center" vertical="center"/>
    </xf>
    <xf numFmtId="2" fontId="6" fillId="2" borderId="3" xfId="0" applyNumberFormat="1" applyFont="1" applyFill="1" applyBorder="1" applyAlignment="1">
      <alignment horizontal="center" vertical="center"/>
    </xf>
    <xf numFmtId="1" fontId="6" fillId="3" borderId="1" xfId="0" applyNumberFormat="1" applyFont="1" applyFill="1" applyBorder="1" applyAlignment="1">
      <alignment horizontal="center" vertical="center"/>
    </xf>
    <xf numFmtId="0" fontId="4" fillId="0" borderId="1" xfId="0" applyFont="1" applyBorder="1" applyAlignment="1">
      <alignment horizontal="center" vertical="center"/>
    </xf>
    <xf numFmtId="0" fontId="2" fillId="0" borderId="10" xfId="0" applyFont="1" applyBorder="1" applyAlignment="1">
      <alignment horizontal="center" vertical="center"/>
    </xf>
    <xf numFmtId="0" fontId="7" fillId="0" borderId="1" xfId="0" applyFont="1" applyBorder="1" applyAlignment="1">
      <alignment horizontal="center" vertical="center"/>
    </xf>
    <xf numFmtId="1" fontId="9" fillId="3" borderId="1" xfId="0" applyNumberFormat="1" applyFont="1" applyFill="1" applyBorder="1" applyAlignment="1">
      <alignment horizontal="center" vertical="center"/>
    </xf>
    <xf numFmtId="166" fontId="6" fillId="0" borderId="1" xfId="0" applyNumberFormat="1" applyFont="1" applyFill="1" applyBorder="1" applyAlignment="1">
      <alignment horizontal="center" vertical="center"/>
    </xf>
    <xf numFmtId="0" fontId="8" fillId="0" borderId="11" xfId="0" applyFont="1" applyBorder="1" applyAlignment="1">
      <alignment horizontal="left" vertical="center" wrapText="1"/>
    </xf>
    <xf numFmtId="0" fontId="8" fillId="0" borderId="0" xfId="0" applyFont="1" applyBorder="1" applyAlignment="1">
      <alignment horizontal="left" vertical="center" wrapText="1"/>
    </xf>
    <xf numFmtId="0" fontId="8" fillId="0" borderId="1" xfId="0" applyFont="1" applyBorder="1" applyAlignment="1">
      <alignment horizontal="left" vertical="center" wrapText="1"/>
    </xf>
    <xf numFmtId="0" fontId="8" fillId="0" borderId="9" xfId="0" applyFont="1" applyBorder="1" applyAlignment="1">
      <alignment horizontal="left" vertical="center" wrapText="1"/>
    </xf>
    <xf numFmtId="0" fontId="8" fillId="0" borderId="6" xfId="0" applyFont="1" applyBorder="1" applyAlignment="1">
      <alignment horizontal="left" vertical="center" wrapText="1"/>
    </xf>
    <xf numFmtId="0" fontId="8" fillId="0" borderId="10" xfId="0" applyFont="1" applyBorder="1" applyAlignment="1">
      <alignment horizontal="left" vertical="center" wrapText="1"/>
    </xf>
    <xf numFmtId="0" fontId="8" fillId="0" borderId="11" xfId="0" applyFont="1" applyBorder="1" applyAlignment="1">
      <alignment horizontal="left" vertical="center"/>
    </xf>
    <xf numFmtId="0" fontId="8" fillId="0" borderId="8" xfId="0" applyFont="1" applyBorder="1" applyAlignment="1">
      <alignment horizontal="left" vertical="center"/>
    </xf>
    <xf numFmtId="0" fontId="8" fillId="0" borderId="5" xfId="0" applyFont="1" applyBorder="1" applyAlignment="1">
      <alignment horizontal="left" vertical="center"/>
    </xf>
    <xf numFmtId="0" fontId="6" fillId="0" borderId="0" xfId="0" applyFont="1" applyBorder="1" applyAlignment="1">
      <alignment horizontal="center" vertical="center"/>
    </xf>
    <xf numFmtId="0" fontId="6" fillId="0" borderId="4" xfId="0" applyFont="1" applyBorder="1" applyAlignment="1">
      <alignment horizontal="center" vertical="center"/>
    </xf>
    <xf numFmtId="0" fontId="6" fillId="0" borderId="6" xfId="0" applyFont="1" applyBorder="1" applyAlignment="1">
      <alignment horizontal="center" vertical="center"/>
    </xf>
    <xf numFmtId="0" fontId="6" fillId="0" borderId="7" xfId="0" applyFont="1" applyBorder="1" applyAlignment="1">
      <alignment horizontal="center" vertical="center"/>
    </xf>
    <xf numFmtId="0" fontId="3" fillId="0" borderId="14" xfId="0" applyFont="1" applyFill="1" applyBorder="1" applyAlignment="1">
      <alignment horizontal="center" vertical="center"/>
    </xf>
    <xf numFmtId="0" fontId="3" fillId="0" borderId="15" xfId="0" applyFont="1" applyFill="1" applyBorder="1" applyAlignment="1">
      <alignment horizontal="center" vertical="center"/>
    </xf>
    <xf numFmtId="0" fontId="3" fillId="0" borderId="0" xfId="0" applyFont="1" applyFill="1" applyBorder="1" applyAlignment="1">
      <alignment horizontal="center" vertical="center" wrapText="1"/>
    </xf>
    <xf numFmtId="0" fontId="3" fillId="0" borderId="4" xfId="0" applyFont="1" applyFill="1" applyBorder="1" applyAlignment="1">
      <alignment horizontal="center" vertical="center" wrapText="1"/>
    </xf>
    <xf numFmtId="0" fontId="3" fillId="4" borderId="0" xfId="0" applyFont="1" applyFill="1" applyBorder="1" applyAlignment="1">
      <alignment horizontal="center" vertical="center"/>
    </xf>
    <xf numFmtId="0" fontId="3" fillId="5" borderId="0" xfId="0" applyFont="1" applyFill="1" applyBorder="1" applyAlignment="1">
      <alignment horizontal="center" vertical="center"/>
    </xf>
    <xf numFmtId="0" fontId="3" fillId="6" borderId="0" xfId="0" applyFont="1" applyFill="1" applyBorder="1" applyAlignment="1">
      <alignment horizontal="center" vertical="center"/>
    </xf>
  </cellXfs>
  <cellStyles count="2">
    <cellStyle name="Normal" xfId="0" builtinId="0"/>
    <cellStyle name="Percent" xfId="1" builtinId="5"/>
  </cellStyles>
  <dxfs count="0"/>
  <tableStyles count="0" defaultTableStyle="TableStyleMedium2" defaultPivotStyle="PivotStyleLight16"/>
  <colors>
    <mruColors>
      <color rgb="FFB469FF"/>
      <color rgb="FFF1995D"/>
      <color rgb="FFF7D60D"/>
      <color rgb="FFEEAF5C"/>
      <color rgb="FFAB57FF"/>
      <color rgb="FF9933FF"/>
      <color rgb="FFF19E65"/>
      <color rgb="FFEF8D4B"/>
      <color rgb="FFF0A262"/>
      <color rgb="FFF1A05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3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v>Input: Hourly Bed Request Rate</c:v>
          </c:tx>
          <c:spPr>
            <a:ln>
              <a:solidFill>
                <a:srgbClr val="4E2A84"/>
              </a:solidFill>
              <a:prstDash val="solid"/>
            </a:ln>
          </c:spPr>
          <c:marker>
            <c:symbol val="none"/>
          </c:marker>
          <c:cat>
            <c:numRef>
              <c:f>Model!$A$8:$A$31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Model!$B$8:$B$31</c:f>
              <c:numCache>
                <c:formatCode>0.000</c:formatCode>
                <c:ptCount val="24"/>
                <c:pt idx="0">
                  <c:v>0.86922213458333342</c:v>
                </c:pt>
                <c:pt idx="1">
                  <c:v>0.7126955433333334</c:v>
                </c:pt>
                <c:pt idx="2">
                  <c:v>0.71935624916666674</c:v>
                </c:pt>
                <c:pt idx="3">
                  <c:v>0.70270448416666664</c:v>
                </c:pt>
                <c:pt idx="4">
                  <c:v>0.60279389416666673</c:v>
                </c:pt>
                <c:pt idx="5">
                  <c:v>0.66274024833333334</c:v>
                </c:pt>
                <c:pt idx="6">
                  <c:v>0.50621365666666673</c:v>
                </c:pt>
                <c:pt idx="7">
                  <c:v>0.86922213458333342</c:v>
                </c:pt>
                <c:pt idx="8">
                  <c:v>1.4020786154166667</c:v>
                </c:pt>
                <c:pt idx="9">
                  <c:v>1.8383548591666665</c:v>
                </c:pt>
                <c:pt idx="10">
                  <c:v>2.0914616875000003</c:v>
                </c:pt>
                <c:pt idx="11">
                  <c:v>2.6143271095833334</c:v>
                </c:pt>
                <c:pt idx="12">
                  <c:v>2.9140588800000002</c:v>
                </c:pt>
                <c:pt idx="13">
                  <c:v>3.2037995912500001</c:v>
                </c:pt>
                <c:pt idx="14">
                  <c:v>3.2437638275</c:v>
                </c:pt>
                <c:pt idx="15">
                  <c:v>3.1738264145833335</c:v>
                </c:pt>
                <c:pt idx="16">
                  <c:v>2.7342198175000001</c:v>
                </c:pt>
                <c:pt idx="17">
                  <c:v>2.3978541641666666</c:v>
                </c:pt>
                <c:pt idx="18">
                  <c:v>2.2280061608333335</c:v>
                </c:pt>
                <c:pt idx="19">
                  <c:v>2.0614885104166665</c:v>
                </c:pt>
                <c:pt idx="20">
                  <c:v>2.0348456866666669</c:v>
                </c:pt>
                <c:pt idx="21">
                  <c:v>1.6485247379166665</c:v>
                </c:pt>
                <c:pt idx="22">
                  <c:v>1.3920875562499999</c:v>
                </c:pt>
                <c:pt idx="23">
                  <c:v>1.3188197904166665</c:v>
                </c:pt>
              </c:numCache>
            </c:numRef>
          </c:val>
          <c:smooth val="0"/>
          <c:extLst>
            <c:ext xmlns:c16="http://schemas.microsoft.com/office/drawing/2014/chart" uri="{C3380CC4-5D6E-409C-BE32-E72D297353CC}">
              <c16:uniqueId val="{00000000-9236-4124-BF51-8DC9F8930522}"/>
            </c:ext>
          </c:extLst>
        </c:ser>
        <c:dLbls>
          <c:showLegendKey val="0"/>
          <c:showVal val="0"/>
          <c:showCatName val="0"/>
          <c:showSerName val="0"/>
          <c:showPercent val="0"/>
          <c:showBubbleSize val="0"/>
        </c:dLbls>
        <c:smooth val="0"/>
        <c:axId val="387657832"/>
        <c:axId val="387656520"/>
      </c:lineChart>
      <c:catAx>
        <c:axId val="387657832"/>
        <c:scaling>
          <c:orientation val="minMax"/>
        </c:scaling>
        <c:delete val="0"/>
        <c:axPos val="b"/>
        <c:title>
          <c:tx>
            <c:rich>
              <a:bodyPr/>
              <a:lstStyle/>
              <a:p>
                <a:pPr>
                  <a:defRPr/>
                </a:pPr>
                <a:r>
                  <a:rPr lang="en-US"/>
                  <a:t>Hour of Day</a:t>
                </a:r>
              </a:p>
            </c:rich>
          </c:tx>
          <c:overlay val="0"/>
        </c:title>
        <c:numFmt formatCode="General" sourceLinked="1"/>
        <c:majorTickMark val="out"/>
        <c:minorTickMark val="none"/>
        <c:tickLblPos val="nextTo"/>
        <c:txPr>
          <a:bodyPr rot="-2700000" vert="horz"/>
          <a:lstStyle/>
          <a:p>
            <a:pPr>
              <a:defRPr/>
            </a:pPr>
            <a:endParaRPr lang="en-US"/>
          </a:p>
        </c:txPr>
        <c:crossAx val="387656520"/>
        <c:crosses val="autoZero"/>
        <c:auto val="1"/>
        <c:lblAlgn val="ctr"/>
        <c:lblOffset val="100"/>
        <c:tickLblSkip val="1"/>
        <c:noMultiLvlLbl val="0"/>
      </c:catAx>
      <c:valAx>
        <c:axId val="387656520"/>
        <c:scaling>
          <c:orientation val="minMax"/>
        </c:scaling>
        <c:delete val="0"/>
        <c:axPos val="l"/>
        <c:majorGridlines/>
        <c:title>
          <c:tx>
            <c:rich>
              <a:bodyPr/>
              <a:lstStyle/>
              <a:p>
                <a:pPr>
                  <a:defRPr/>
                </a:pPr>
                <a:r>
                  <a:rPr lang="en-US"/>
                  <a:t>Number of Requests</a:t>
                </a:r>
              </a:p>
            </c:rich>
          </c:tx>
          <c:overlay val="0"/>
        </c:title>
        <c:numFmt formatCode="0.000" sourceLinked="1"/>
        <c:majorTickMark val="out"/>
        <c:minorTickMark val="none"/>
        <c:tickLblPos val="nextTo"/>
        <c:crossAx val="387657832"/>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v>Input: Hourly Patient Departure Rate</c:v>
          </c:tx>
          <c:spPr>
            <a:ln>
              <a:solidFill>
                <a:srgbClr val="4E2A84"/>
              </a:solidFill>
              <a:prstDash val="solid"/>
            </a:ln>
          </c:spPr>
          <c:marker>
            <c:symbol val="none"/>
          </c:marker>
          <c:cat>
            <c:numRef>
              <c:f>Model!$A$8:$A$31</c:f>
              <c:numCache>
                <c:formatCode>General</c:formatCod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numCache>
            </c:numRef>
          </c:cat>
          <c:val>
            <c:numRef>
              <c:f>Model!$C$8:$C$31</c:f>
              <c:numCache>
                <c:formatCode>0.000</c:formatCode>
                <c:ptCount val="24"/>
                <c:pt idx="0">
                  <c:v>1.4670823399963299E-3</c:v>
                </c:pt>
                <c:pt idx="1">
                  <c:v>1.1003117549972499E-3</c:v>
                </c:pt>
                <c:pt idx="2">
                  <c:v>6.4184852374839501E-4</c:v>
                </c:pt>
                <c:pt idx="3">
                  <c:v>5.5015587749862496E-4</c:v>
                </c:pt>
                <c:pt idx="4">
                  <c:v>2.7507793874931199E-4</c:v>
                </c:pt>
                <c:pt idx="5">
                  <c:v>6.4184852374839501E-4</c:v>
                </c:pt>
                <c:pt idx="6">
                  <c:v>6.4184852374839501E-4</c:v>
                </c:pt>
                <c:pt idx="7">
                  <c:v>1.74216027874564E-3</c:v>
                </c:pt>
                <c:pt idx="8">
                  <c:v>3.9427837887401401E-3</c:v>
                </c:pt>
                <c:pt idx="9">
                  <c:v>1.2378507243719101E-2</c:v>
                </c:pt>
                <c:pt idx="10">
                  <c:v>2.7966257106180101E-2</c:v>
                </c:pt>
                <c:pt idx="11">
                  <c:v>4.71300201723822E-2</c:v>
                </c:pt>
                <c:pt idx="12">
                  <c:v>6.9778103796075602E-2</c:v>
                </c:pt>
                <c:pt idx="13">
                  <c:v>0.120667522464698</c:v>
                </c:pt>
                <c:pt idx="14">
                  <c:v>0.14074821199339799</c:v>
                </c:pt>
                <c:pt idx="15">
                  <c:v>0.103154227030992</c:v>
                </c:pt>
                <c:pt idx="16">
                  <c:v>0.13451311204841401</c:v>
                </c:pt>
                <c:pt idx="17">
                  <c:v>0.12387676508344</c:v>
                </c:pt>
                <c:pt idx="18">
                  <c:v>0.10746378140473101</c:v>
                </c:pt>
                <c:pt idx="19">
                  <c:v>5.64826700898588E-2</c:v>
                </c:pt>
                <c:pt idx="20">
                  <c:v>2.3656702732440901E-2</c:v>
                </c:pt>
                <c:pt idx="21">
                  <c:v>1.09114249037227E-2</c:v>
                </c:pt>
                <c:pt idx="22">
                  <c:v>6.1434072987346404E-3</c:v>
                </c:pt>
                <c:pt idx="23">
                  <c:v>4.1261690812396798E-3</c:v>
                </c:pt>
              </c:numCache>
            </c:numRef>
          </c:val>
          <c:smooth val="0"/>
          <c:extLst>
            <c:ext xmlns:c16="http://schemas.microsoft.com/office/drawing/2014/chart" uri="{C3380CC4-5D6E-409C-BE32-E72D297353CC}">
              <c16:uniqueId val="{00000000-B716-4646-84C5-2ECD584863AE}"/>
            </c:ext>
          </c:extLst>
        </c:ser>
        <c:dLbls>
          <c:showLegendKey val="0"/>
          <c:showVal val="0"/>
          <c:showCatName val="0"/>
          <c:showSerName val="0"/>
          <c:showPercent val="0"/>
          <c:showBubbleSize val="0"/>
        </c:dLbls>
        <c:smooth val="0"/>
        <c:axId val="387664720"/>
        <c:axId val="387658816"/>
      </c:lineChart>
      <c:catAx>
        <c:axId val="387664720"/>
        <c:scaling>
          <c:orientation val="minMax"/>
        </c:scaling>
        <c:delete val="0"/>
        <c:axPos val="b"/>
        <c:title>
          <c:tx>
            <c:rich>
              <a:bodyPr/>
              <a:lstStyle/>
              <a:p>
                <a:pPr>
                  <a:defRPr/>
                </a:pPr>
                <a:r>
                  <a:rPr lang="en-US"/>
                  <a:t>Hour of Day</a:t>
                </a:r>
              </a:p>
            </c:rich>
          </c:tx>
          <c:overlay val="0"/>
        </c:title>
        <c:numFmt formatCode="General" sourceLinked="1"/>
        <c:majorTickMark val="out"/>
        <c:minorTickMark val="none"/>
        <c:tickLblPos val="nextTo"/>
        <c:txPr>
          <a:bodyPr rot="-2700000" vert="horz"/>
          <a:lstStyle/>
          <a:p>
            <a:pPr>
              <a:defRPr/>
            </a:pPr>
            <a:endParaRPr lang="en-US"/>
          </a:p>
        </c:txPr>
        <c:crossAx val="387658816"/>
        <c:crosses val="autoZero"/>
        <c:auto val="1"/>
        <c:lblAlgn val="ctr"/>
        <c:lblOffset val="100"/>
        <c:tickLblSkip val="1"/>
        <c:noMultiLvlLbl val="0"/>
      </c:catAx>
      <c:valAx>
        <c:axId val="387658816"/>
        <c:scaling>
          <c:orientation val="minMax"/>
        </c:scaling>
        <c:delete val="0"/>
        <c:axPos val="l"/>
        <c:majorGridlines/>
        <c:title>
          <c:tx>
            <c:rich>
              <a:bodyPr/>
              <a:lstStyle/>
              <a:p>
                <a:pPr>
                  <a:defRPr/>
                </a:pPr>
                <a:r>
                  <a:rPr lang="en-US"/>
                  <a:t>Number of Departures</a:t>
                </a:r>
              </a:p>
            </c:rich>
          </c:tx>
          <c:overlay val="0"/>
        </c:title>
        <c:numFmt formatCode="0.000" sourceLinked="1"/>
        <c:majorTickMark val="out"/>
        <c:minorTickMark val="none"/>
        <c:tickLblPos val="nextTo"/>
        <c:crossAx val="387664720"/>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v>Average Patient Delay Time (min)</c:v>
          </c:tx>
          <c:spPr>
            <a:ln>
              <a:solidFill>
                <a:srgbClr val="4E2A84"/>
              </a:solidFill>
              <a:prstDash val="solid"/>
            </a:ln>
          </c:spPr>
          <c:marker>
            <c:symbol val="none"/>
          </c:marker>
          <c:dPt>
            <c:idx val="26"/>
            <c:marker>
              <c:symbol val="diamond"/>
              <c:size val="14"/>
              <c:spPr>
                <a:solidFill>
                  <a:srgbClr val="FFFF00"/>
                </a:solidFill>
              </c:spPr>
            </c:marker>
            <c:bubble3D val="0"/>
            <c:extLst>
              <c:ext xmlns:c16="http://schemas.microsoft.com/office/drawing/2014/chart" uri="{C3380CC4-5D6E-409C-BE32-E72D297353CC}">
                <c16:uniqueId val="{00000001-AC15-479A-B1FC-655BEC0D7276}"/>
              </c:ext>
            </c:extLst>
          </c:dPt>
          <c:cat>
            <c:numRef>
              <c:f>SimulationFit!$A$2:$A$152</c:f>
              <c:numCache>
                <c:formatCode>General</c:formatCode>
                <c:ptCount val="151"/>
                <c:pt idx="10">
                  <c:v>0.99</c:v>
                </c:pt>
                <c:pt idx="20">
                  <c:v>0.98</c:v>
                </c:pt>
                <c:pt idx="30">
                  <c:v>0.97</c:v>
                </c:pt>
                <c:pt idx="40">
                  <c:v>0.96</c:v>
                </c:pt>
                <c:pt idx="50">
                  <c:v>0.95</c:v>
                </c:pt>
                <c:pt idx="60">
                  <c:v>0.94</c:v>
                </c:pt>
                <c:pt idx="70">
                  <c:v>0.93</c:v>
                </c:pt>
                <c:pt idx="80">
                  <c:v>0.92</c:v>
                </c:pt>
                <c:pt idx="90">
                  <c:v>0.91</c:v>
                </c:pt>
                <c:pt idx="100" formatCode="0.00">
                  <c:v>0.9</c:v>
                </c:pt>
                <c:pt idx="110">
                  <c:v>0.89</c:v>
                </c:pt>
                <c:pt idx="120">
                  <c:v>0.88</c:v>
                </c:pt>
                <c:pt idx="130">
                  <c:v>0.87</c:v>
                </c:pt>
                <c:pt idx="140">
                  <c:v>0.86</c:v>
                </c:pt>
                <c:pt idx="150">
                  <c:v>0.85</c:v>
                </c:pt>
              </c:numCache>
            </c:numRef>
          </c:cat>
          <c:val>
            <c:numRef>
              <c:f>SimulationFit!$C$2:$C$152</c:f>
              <c:numCache>
                <c:formatCode>General</c:formatCode>
                <c:ptCount val="151"/>
                <c:pt idx="0">
                  <c:v>369.89109655451</c:v>
                </c:pt>
                <c:pt idx="1">
                  <c:v>364.28382022874598</c:v>
                </c:pt>
                <c:pt idx="2">
                  <c:v>358.70055124484202</c:v>
                </c:pt>
                <c:pt idx="3">
                  <c:v>353.14111514686499</c:v>
                </c:pt>
                <c:pt idx="4">
                  <c:v>347.60534628708501</c:v>
                </c:pt>
                <c:pt idx="5">
                  <c:v>342.09309040299797</c:v>
                </c:pt>
                <c:pt idx="6">
                  <c:v>336.60420764751802</c:v>
                </c:pt>
                <c:pt idx="7">
                  <c:v>331.138576146932</c:v>
                </c:pt>
                <c:pt idx="8">
                  <c:v>325.69609617292201</c:v>
                </c:pt>
                <c:pt idx="9">
                  <c:v>320.27669502836699</c:v>
                </c:pt>
                <c:pt idx="10">
                  <c:v>314.88033276150497</c:v>
                </c:pt>
                <c:pt idx="11">
                  <c:v>309.50700883958501</c:v>
                </c:pt>
                <c:pt idx="12">
                  <c:v>304.15676993099697</c:v>
                </c:pt>
                <c:pt idx="13">
                  <c:v>298.82971896358998</c:v>
                </c:pt>
                <c:pt idx="14">
                  <c:v>293.52602564575102</c:v>
                </c:pt>
                <c:pt idx="15">
                  <c:v>288.24593862965799</c:v>
                </c:pt>
                <c:pt idx="16">
                  <c:v>282.98971464609599</c:v>
                </c:pt>
                <c:pt idx="17">
                  <c:v>277.757487768803</c:v>
                </c:pt>
                <c:pt idx="18">
                  <c:v>272.54957658879198</c:v>
                </c:pt>
                <c:pt idx="19">
                  <c:v>267.36656802239901</c:v>
                </c:pt>
                <c:pt idx="20">
                  <c:v>262.20933685969902</c:v>
                </c:pt>
                <c:pt idx="21">
                  <c:v>257.07907062265599</c:v>
                </c:pt>
                <c:pt idx="22">
                  <c:v>251.977661049803</c:v>
                </c:pt>
                <c:pt idx="23">
                  <c:v>246.90798351772301</c:v>
                </c:pt>
                <c:pt idx="24">
                  <c:v>241.87335584875601</c:v>
                </c:pt>
                <c:pt idx="25">
                  <c:v>236.87748789373001</c:v>
                </c:pt>
                <c:pt idx="26">
                  <c:v>231.92448671080899</c:v>
                </c:pt>
                <c:pt idx="27">
                  <c:v>227.018855686584</c:v>
                </c:pt>
                <c:pt idx="28">
                  <c:v>222.16546364676</c:v>
                </c:pt>
                <c:pt idx="29">
                  <c:v>217.36950055639801</c:v>
                </c:pt>
                <c:pt idx="30">
                  <c:v>212.636427914617</c:v>
                </c:pt>
                <c:pt idx="31">
                  <c:v>207.97188572944299</c:v>
                </c:pt>
                <c:pt idx="32">
                  <c:v>203.38153383316299</c:v>
                </c:pt>
                <c:pt idx="33">
                  <c:v>198.86971269585899</c:v>
                </c:pt>
                <c:pt idx="34">
                  <c:v>194.43485457042399</c:v>
                </c:pt>
                <c:pt idx="35">
                  <c:v>190.07044066617701</c:v>
                </c:pt>
                <c:pt idx="36">
                  <c:v>185.76407370988801</c:v>
                </c:pt>
                <c:pt idx="37">
                  <c:v>181.49414254570999</c:v>
                </c:pt>
                <c:pt idx="38">
                  <c:v>177.22390455263499</c:v>
                </c:pt>
                <c:pt idx="39">
                  <c:v>172.893637085021</c:v>
                </c:pt>
                <c:pt idx="40">
                  <c:v>168.41162032553601</c:v>
                </c:pt>
                <c:pt idx="41">
                  <c:v>163.67498632009199</c:v>
                </c:pt>
                <c:pt idx="42">
                  <c:v>158.70070273209899</c:v>
                </c:pt>
                <c:pt idx="43">
                  <c:v>154.10472693627599</c:v>
                </c:pt>
                <c:pt idx="44">
                  <c:v>150.00966141106301</c:v>
                </c:pt>
                <c:pt idx="45">
                  <c:v>146.114467308489</c:v>
                </c:pt>
                <c:pt idx="46">
                  <c:v>141.440776554221</c:v>
                </c:pt>
                <c:pt idx="47">
                  <c:v>137.03454262413001</c:v>
                </c:pt>
                <c:pt idx="48">
                  <c:v>133.52594716811601</c:v>
                </c:pt>
                <c:pt idx="49">
                  <c:v>131.30391767709401</c:v>
                </c:pt>
                <c:pt idx="50">
                  <c:v>129.62934598016599</c:v>
                </c:pt>
                <c:pt idx="51">
                  <c:v>127.408342844572</c:v>
                </c:pt>
                <c:pt idx="52">
                  <c:v>125.57213507588899</c:v>
                </c:pt>
                <c:pt idx="53">
                  <c:v>124.473313091493</c:v>
                </c:pt>
                <c:pt idx="54">
                  <c:v>123.191848698348</c:v>
                </c:pt>
                <c:pt idx="55">
                  <c:v>121.1745691279</c:v>
                </c:pt>
                <c:pt idx="56">
                  <c:v>119.186288732051</c:v>
                </c:pt>
                <c:pt idx="57">
                  <c:v>118.18148966130801</c:v>
                </c:pt>
                <c:pt idx="58">
                  <c:v>116.594429310021</c:v>
                </c:pt>
                <c:pt idx="59">
                  <c:v>113.620485370585</c:v>
                </c:pt>
                <c:pt idx="60">
                  <c:v>110.030394943433</c:v>
                </c:pt>
                <c:pt idx="61">
                  <c:v>106.59616885799601</c:v>
                </c:pt>
                <c:pt idx="62">
                  <c:v>103.483752652531</c:v>
                </c:pt>
                <c:pt idx="63">
                  <c:v>100.014270260011</c:v>
                </c:pt>
                <c:pt idx="64">
                  <c:v>96.453399083226799</c:v>
                </c:pt>
                <c:pt idx="65">
                  <c:v>93.421579088933598</c:v>
                </c:pt>
                <c:pt idx="66">
                  <c:v>90.673604805751097</c:v>
                </c:pt>
                <c:pt idx="67">
                  <c:v>87.553500490707407</c:v>
                </c:pt>
                <c:pt idx="68">
                  <c:v>84.674234927300702</c:v>
                </c:pt>
                <c:pt idx="69">
                  <c:v>82.516717405189894</c:v>
                </c:pt>
                <c:pt idx="70">
                  <c:v>80.219675285309705</c:v>
                </c:pt>
                <c:pt idx="71">
                  <c:v>77.788736934382499</c:v>
                </c:pt>
                <c:pt idx="72">
                  <c:v>75.643449047091593</c:v>
                </c:pt>
                <c:pt idx="73">
                  <c:v>73.549702877459595</c:v>
                </c:pt>
                <c:pt idx="74">
                  <c:v>70.978546566310698</c:v>
                </c:pt>
                <c:pt idx="75">
                  <c:v>68.247017176963496</c:v>
                </c:pt>
                <c:pt idx="76">
                  <c:v>65.417313415004998</c:v>
                </c:pt>
                <c:pt idx="77">
                  <c:v>62.585057474123197</c:v>
                </c:pt>
                <c:pt idx="78">
                  <c:v>59.553259686033499</c:v>
                </c:pt>
                <c:pt idx="79">
                  <c:v>56.5921233598295</c:v>
                </c:pt>
                <c:pt idx="80">
                  <c:v>54.2885555074498</c:v>
                </c:pt>
                <c:pt idx="81">
                  <c:v>52.524698050525501</c:v>
                </c:pt>
                <c:pt idx="82">
                  <c:v>50.7599408296227</c:v>
                </c:pt>
                <c:pt idx="83">
                  <c:v>48.951023773613201</c:v>
                </c:pt>
                <c:pt idx="84">
                  <c:v>47.8874216231345</c:v>
                </c:pt>
                <c:pt idx="85">
                  <c:v>47.194104815649503</c:v>
                </c:pt>
                <c:pt idx="86">
                  <c:v>46.691661026468701</c:v>
                </c:pt>
                <c:pt idx="87">
                  <c:v>46.301164649154501</c:v>
                </c:pt>
                <c:pt idx="88">
                  <c:v>46.163816604109698</c:v>
                </c:pt>
                <c:pt idx="89">
                  <c:v>45.818069504454101</c:v>
                </c:pt>
                <c:pt idx="90">
                  <c:v>45.240290312255603</c:v>
                </c:pt>
                <c:pt idx="91">
                  <c:v>44.552990235019699</c:v>
                </c:pt>
                <c:pt idx="92">
                  <c:v>43.7759070450835</c:v>
                </c:pt>
                <c:pt idx="93">
                  <c:v>42.859217527780402</c:v>
                </c:pt>
                <c:pt idx="94">
                  <c:v>41.569055740833903</c:v>
                </c:pt>
                <c:pt idx="95">
                  <c:v>40.654582049532301</c:v>
                </c:pt>
                <c:pt idx="96">
                  <c:v>39.840002730645502</c:v>
                </c:pt>
                <c:pt idx="97">
                  <c:v>38.828541079907403</c:v>
                </c:pt>
                <c:pt idx="98">
                  <c:v>37.965185719181903</c:v>
                </c:pt>
                <c:pt idx="99">
                  <c:v>37.766802570819202</c:v>
                </c:pt>
                <c:pt idx="100">
                  <c:v>37.109698623208402</c:v>
                </c:pt>
                <c:pt idx="101">
                  <c:v>36.446841202657197</c:v>
                </c:pt>
                <c:pt idx="102">
                  <c:v>36.2415704652092</c:v>
                </c:pt>
                <c:pt idx="103">
                  <c:v>36.162505419807097</c:v>
                </c:pt>
                <c:pt idx="104">
                  <c:v>35.550968432033102</c:v>
                </c:pt>
                <c:pt idx="105">
                  <c:v>34.562941080715198</c:v>
                </c:pt>
                <c:pt idx="106">
                  <c:v>33.527696441539703</c:v>
                </c:pt>
                <c:pt idx="107">
                  <c:v>32.482771263587203</c:v>
                </c:pt>
                <c:pt idx="108">
                  <c:v>31.428283104395401</c:v>
                </c:pt>
                <c:pt idx="109">
                  <c:v>30.356057931301098</c:v>
                </c:pt>
                <c:pt idx="110">
                  <c:v>29.260754097509199</c:v>
                </c:pt>
                <c:pt idx="111">
                  <c:v>28.140949975691999</c:v>
                </c:pt>
                <c:pt idx="112">
                  <c:v>26.997035445695701</c:v>
                </c:pt>
                <c:pt idx="113">
                  <c:v>25.829881802835398</c:v>
                </c:pt>
                <c:pt idx="114">
                  <c:v>24.640511830963298</c:v>
                </c:pt>
                <c:pt idx="115">
                  <c:v>23.429832310587599</c:v>
                </c:pt>
                <c:pt idx="116">
                  <c:v>22.1983665562752</c:v>
                </c:pt>
                <c:pt idx="117">
                  <c:v>20.94656136467</c:v>
                </c:pt>
                <c:pt idx="118">
                  <c:v>19.6748459962871</c:v>
                </c:pt>
                <c:pt idx="119">
                  <c:v>18.3836185304467</c:v>
                </c:pt>
                <c:pt idx="120">
                  <c:v>17.0732462006265</c:v>
                </c:pt>
                <c:pt idx="121">
                  <c:v>15.744059242701301</c:v>
                </c:pt>
                <c:pt idx="122">
                  <c:v>14.3963394206622</c:v>
                </c:pt>
                <c:pt idx="123">
                  <c:v>13.030324559335799</c:v>
                </c:pt>
                <c:pt idx="124">
                  <c:v>11.646220580530899</c:v>
                </c:pt>
                <c:pt idx="125">
                  <c:v>10.2442535030087</c:v>
                </c:pt>
                <c:pt idx="126">
                  <c:v>8.8246480616427103</c:v>
                </c:pt>
                <c:pt idx="127">
                  <c:v>7.3876054015108901</c:v>
                </c:pt>
                <c:pt idx="128">
                  <c:v>5.9333058363202102</c:v>
                </c:pt>
                <c:pt idx="129">
                  <c:v>4.4618777380318502</c:v>
                </c:pt>
                <c:pt idx="130">
                  <c:v>2.9733548204373199</c:v>
                </c:pt>
                <c:pt idx="131">
                  <c:v>1.4677430435602701</c:v>
                </c:pt>
                <c:pt idx="132">
                  <c:v>0</c:v>
                </c:pt>
                <c:pt idx="133">
                  <c:v>0</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numCache>
            </c:numRef>
          </c:val>
          <c:smooth val="0"/>
          <c:extLst>
            <c:ext xmlns:c16="http://schemas.microsoft.com/office/drawing/2014/chart" uri="{C3380CC4-5D6E-409C-BE32-E72D297353CC}">
              <c16:uniqueId val="{00000000-AC15-479A-B1FC-655BEC0D7276}"/>
            </c:ext>
          </c:extLst>
        </c:ser>
        <c:dLbls>
          <c:showLegendKey val="0"/>
          <c:showVal val="0"/>
          <c:showCatName val="0"/>
          <c:showSerName val="0"/>
          <c:showPercent val="0"/>
          <c:showBubbleSize val="0"/>
        </c:dLbls>
        <c:smooth val="0"/>
        <c:axId val="387659144"/>
        <c:axId val="387658488"/>
      </c:lineChart>
      <c:catAx>
        <c:axId val="387659144"/>
        <c:scaling>
          <c:orientation val="minMax"/>
        </c:scaling>
        <c:delete val="0"/>
        <c:axPos val="b"/>
        <c:title>
          <c:tx>
            <c:rich>
              <a:bodyPr/>
              <a:lstStyle/>
              <a:p>
                <a:pPr>
                  <a:defRPr/>
                </a:pPr>
                <a:r>
                  <a:rPr lang="en-US"/>
                  <a:t>Occupancy Level</a:t>
                </a:r>
              </a:p>
            </c:rich>
          </c:tx>
          <c:overlay val="0"/>
        </c:title>
        <c:numFmt formatCode="General" sourceLinked="1"/>
        <c:majorTickMark val="out"/>
        <c:minorTickMark val="none"/>
        <c:tickLblPos val="nextTo"/>
        <c:txPr>
          <a:bodyPr rot="-2700000" vert="horz"/>
          <a:lstStyle/>
          <a:p>
            <a:pPr>
              <a:defRPr/>
            </a:pPr>
            <a:endParaRPr lang="en-US"/>
          </a:p>
        </c:txPr>
        <c:crossAx val="387658488"/>
        <c:crosses val="autoZero"/>
        <c:auto val="1"/>
        <c:lblAlgn val="ctr"/>
        <c:lblOffset val="100"/>
        <c:tickLblSkip val="1"/>
        <c:noMultiLvlLbl val="0"/>
      </c:catAx>
      <c:valAx>
        <c:axId val="387658488"/>
        <c:scaling>
          <c:orientation val="minMax"/>
        </c:scaling>
        <c:delete val="0"/>
        <c:axPos val="l"/>
        <c:majorGridlines/>
        <c:title>
          <c:tx>
            <c:rich>
              <a:bodyPr/>
              <a:lstStyle/>
              <a:p>
                <a:pPr>
                  <a:defRPr/>
                </a:pPr>
                <a:r>
                  <a:rPr lang="en-US"/>
                  <a:t>Delay Time (min)</a:t>
                </a:r>
              </a:p>
            </c:rich>
          </c:tx>
          <c:overlay val="0"/>
        </c:title>
        <c:numFmt formatCode="General" sourceLinked="1"/>
        <c:majorTickMark val="out"/>
        <c:minorTickMark val="none"/>
        <c:tickLblPos val="nextTo"/>
        <c:crossAx val="387659144"/>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v>Average Daily Maximum Patient Delay Time (min)</c:v>
          </c:tx>
          <c:spPr>
            <a:ln>
              <a:solidFill>
                <a:srgbClr val="4E2A84"/>
              </a:solidFill>
              <a:prstDash val="solid"/>
            </a:ln>
          </c:spPr>
          <c:marker>
            <c:symbol val="none"/>
          </c:marker>
          <c:dPt>
            <c:idx val="26"/>
            <c:marker>
              <c:symbol val="diamond"/>
              <c:size val="14"/>
              <c:spPr>
                <a:solidFill>
                  <a:srgbClr val="FFFF00"/>
                </a:solidFill>
              </c:spPr>
            </c:marker>
            <c:bubble3D val="0"/>
            <c:extLst>
              <c:ext xmlns:c16="http://schemas.microsoft.com/office/drawing/2014/chart" uri="{C3380CC4-5D6E-409C-BE32-E72D297353CC}">
                <c16:uniqueId val="{00000001-60FF-4FA1-BE73-512CC3BE495A}"/>
              </c:ext>
            </c:extLst>
          </c:dPt>
          <c:cat>
            <c:numRef>
              <c:f>SimulationFit!$A$2:$A$152</c:f>
              <c:numCache>
                <c:formatCode>General</c:formatCode>
                <c:ptCount val="151"/>
                <c:pt idx="10">
                  <c:v>0.99</c:v>
                </c:pt>
                <c:pt idx="20">
                  <c:v>0.98</c:v>
                </c:pt>
                <c:pt idx="30">
                  <c:v>0.97</c:v>
                </c:pt>
                <c:pt idx="40">
                  <c:v>0.96</c:v>
                </c:pt>
                <c:pt idx="50">
                  <c:v>0.95</c:v>
                </c:pt>
                <c:pt idx="60">
                  <c:v>0.94</c:v>
                </c:pt>
                <c:pt idx="70">
                  <c:v>0.93</c:v>
                </c:pt>
                <c:pt idx="80">
                  <c:v>0.92</c:v>
                </c:pt>
                <c:pt idx="90">
                  <c:v>0.91</c:v>
                </c:pt>
                <c:pt idx="100" formatCode="0.00">
                  <c:v>0.9</c:v>
                </c:pt>
                <c:pt idx="110">
                  <c:v>0.89</c:v>
                </c:pt>
                <c:pt idx="120">
                  <c:v>0.88</c:v>
                </c:pt>
                <c:pt idx="130">
                  <c:v>0.87</c:v>
                </c:pt>
                <c:pt idx="140">
                  <c:v>0.86</c:v>
                </c:pt>
                <c:pt idx="150">
                  <c:v>0.85</c:v>
                </c:pt>
              </c:numCache>
            </c:numRef>
          </c:cat>
          <c:val>
            <c:numRef>
              <c:f>SimulationFit!$D$2:$D$152</c:f>
              <c:numCache>
                <c:formatCode>General</c:formatCode>
                <c:ptCount val="151"/>
                <c:pt idx="0">
                  <c:v>652.219502770703</c:v>
                </c:pt>
                <c:pt idx="1">
                  <c:v>647.69417900991402</c:v>
                </c:pt>
                <c:pt idx="2">
                  <c:v>643.09442567397298</c:v>
                </c:pt>
                <c:pt idx="3">
                  <c:v>638.41883782238597</c:v>
                </c:pt>
                <c:pt idx="4">
                  <c:v>633.66594986722203</c:v>
                </c:pt>
                <c:pt idx="5">
                  <c:v>628.83423438222098</c:v>
                </c:pt>
                <c:pt idx="6">
                  <c:v>623.92210134039999</c:v>
                </c:pt>
                <c:pt idx="7">
                  <c:v>618.92789791851396</c:v>
                </c:pt>
                <c:pt idx="8">
                  <c:v>613.84990904027597</c:v>
                </c:pt>
                <c:pt idx="9">
                  <c:v>608.68635887097196</c:v>
                </c:pt>
                <c:pt idx="10">
                  <c:v>603.43541352576096</c:v>
                </c:pt>
                <c:pt idx="11">
                  <c:v>598.09518531356696</c:v>
                </c:pt>
                <c:pt idx="12">
                  <c:v>592.66373890993498</c:v>
                </c:pt>
                <c:pt idx="13">
                  <c:v>587.13909993648394</c:v>
                </c:pt>
                <c:pt idx="14">
                  <c:v>581.51926652274199</c:v>
                </c:pt>
                <c:pt idx="15">
                  <c:v>575.80222443164996</c:v>
                </c:pt>
                <c:pt idx="16">
                  <c:v>569.98559552541894</c:v>
                </c:pt>
                <c:pt idx="17">
                  <c:v>564.06599350233603</c:v>
                </c:pt>
                <c:pt idx="18">
                  <c:v>558.04029430114099</c:v>
                </c:pt>
                <c:pt idx="19">
                  <c:v>551.90598558119996</c:v>
                </c:pt>
                <c:pt idx="20">
                  <c:v>545.66124488745697</c:v>
                </c:pt>
                <c:pt idx="21">
                  <c:v>539.30503465507798</c:v>
                </c:pt>
                <c:pt idx="22">
                  <c:v>532.83809427922199</c:v>
                </c:pt>
                <c:pt idx="23">
                  <c:v>526.26373738605605</c:v>
                </c:pt>
                <c:pt idx="24">
                  <c:v>519.58665942901905</c:v>
                </c:pt>
                <c:pt idx="25">
                  <c:v>512.81288294077103</c:v>
                </c:pt>
                <c:pt idx="26">
                  <c:v>505.94984304015998</c:v>
                </c:pt>
                <c:pt idx="27">
                  <c:v>499.00651964892302</c:v>
                </c:pt>
                <c:pt idx="28">
                  <c:v>491.99420369168598</c:v>
                </c:pt>
                <c:pt idx="29">
                  <c:v>484.92656842055601</c:v>
                </c:pt>
                <c:pt idx="30">
                  <c:v>477.81922812014102</c:v>
                </c:pt>
                <c:pt idx="31">
                  <c:v>470.68959605573502</c:v>
                </c:pt>
                <c:pt idx="32">
                  <c:v>463.55651643212201</c:v>
                </c:pt>
                <c:pt idx="33">
                  <c:v>456.43644156035299</c:v>
                </c:pt>
                <c:pt idx="34">
                  <c:v>449.32973287631501</c:v>
                </c:pt>
                <c:pt idx="35">
                  <c:v>442.21985376509798</c:v>
                </c:pt>
                <c:pt idx="36">
                  <c:v>435.06197819500801</c:v>
                </c:pt>
                <c:pt idx="37">
                  <c:v>427.75063913576997</c:v>
                </c:pt>
                <c:pt idx="38">
                  <c:v>420.05910208278601</c:v>
                </c:pt>
                <c:pt idx="39">
                  <c:v>411.65431646770901</c:v>
                </c:pt>
                <c:pt idx="40">
                  <c:v>402.88135329662299</c:v>
                </c:pt>
                <c:pt idx="41">
                  <c:v>394.12074135890202</c:v>
                </c:pt>
                <c:pt idx="42">
                  <c:v>384.69330310299802</c:v>
                </c:pt>
                <c:pt idx="43">
                  <c:v>375.03530719357701</c:v>
                </c:pt>
                <c:pt idx="44">
                  <c:v>364.82418947833497</c:v>
                </c:pt>
                <c:pt idx="45">
                  <c:v>355.03844354392902</c:v>
                </c:pt>
                <c:pt idx="46">
                  <c:v>346.341124401375</c:v>
                </c:pt>
                <c:pt idx="47">
                  <c:v>338.61765071525599</c:v>
                </c:pt>
                <c:pt idx="48">
                  <c:v>331.38823598823399</c:v>
                </c:pt>
                <c:pt idx="49">
                  <c:v>323.891564763698</c:v>
                </c:pt>
                <c:pt idx="50">
                  <c:v>317.79070454184</c:v>
                </c:pt>
                <c:pt idx="51">
                  <c:v>313.06132284967202</c:v>
                </c:pt>
                <c:pt idx="52">
                  <c:v>309.41851886477701</c:v>
                </c:pt>
                <c:pt idx="53">
                  <c:v>306.65051631106098</c:v>
                </c:pt>
                <c:pt idx="54">
                  <c:v>303.52636774732298</c:v>
                </c:pt>
                <c:pt idx="55">
                  <c:v>300.425846714111</c:v>
                </c:pt>
                <c:pt idx="56">
                  <c:v>296.174622584232</c:v>
                </c:pt>
                <c:pt idx="57">
                  <c:v>292.43856831468901</c:v>
                </c:pt>
                <c:pt idx="58">
                  <c:v>286.832394353545</c:v>
                </c:pt>
                <c:pt idx="59">
                  <c:v>280.87640724284699</c:v>
                </c:pt>
                <c:pt idx="60">
                  <c:v>275.04976708317298</c:v>
                </c:pt>
                <c:pt idx="61">
                  <c:v>268.80332480959203</c:v>
                </c:pt>
                <c:pt idx="62">
                  <c:v>261.73922004223698</c:v>
                </c:pt>
                <c:pt idx="63">
                  <c:v>254.87787386813301</c:v>
                </c:pt>
                <c:pt idx="64">
                  <c:v>248.63272604655199</c:v>
                </c:pt>
                <c:pt idx="65">
                  <c:v>242.74669786581899</c:v>
                </c:pt>
                <c:pt idx="66">
                  <c:v>237.90680098908101</c:v>
                </c:pt>
                <c:pt idx="67">
                  <c:v>233.23429030565799</c:v>
                </c:pt>
                <c:pt idx="68">
                  <c:v>228.105160793191</c:v>
                </c:pt>
                <c:pt idx="69">
                  <c:v>223.19374033937001</c:v>
                </c:pt>
                <c:pt idx="70">
                  <c:v>219.403438712689</c:v>
                </c:pt>
                <c:pt idx="71">
                  <c:v>214.93299821433001</c:v>
                </c:pt>
                <c:pt idx="72">
                  <c:v>209.22598727256999</c:v>
                </c:pt>
                <c:pt idx="73">
                  <c:v>203.419869384555</c:v>
                </c:pt>
                <c:pt idx="74">
                  <c:v>197.35302642391099</c:v>
                </c:pt>
                <c:pt idx="75">
                  <c:v>190.55294578172399</c:v>
                </c:pt>
                <c:pt idx="76">
                  <c:v>183.08311485610599</c:v>
                </c:pt>
                <c:pt idx="77">
                  <c:v>176.05656906863501</c:v>
                </c:pt>
                <c:pt idx="78">
                  <c:v>170.158972388802</c:v>
                </c:pt>
                <c:pt idx="79">
                  <c:v>164.39123793209899</c:v>
                </c:pt>
                <c:pt idx="80">
                  <c:v>158.17511145468799</c:v>
                </c:pt>
                <c:pt idx="81">
                  <c:v>152.55653334263701</c:v>
                </c:pt>
                <c:pt idx="82">
                  <c:v>148.63184796792399</c:v>
                </c:pt>
                <c:pt idx="83">
                  <c:v>144.66292973953699</c:v>
                </c:pt>
                <c:pt idx="84">
                  <c:v>141.216075180708</c:v>
                </c:pt>
                <c:pt idx="85">
                  <c:v>138.733517526903</c:v>
                </c:pt>
                <c:pt idx="86">
                  <c:v>136.906196548293</c:v>
                </c:pt>
                <c:pt idx="87">
                  <c:v>134.63817136933099</c:v>
                </c:pt>
                <c:pt idx="88">
                  <c:v>131.82210432231099</c:v>
                </c:pt>
                <c:pt idx="89">
                  <c:v>129.34286193661001</c:v>
                </c:pt>
                <c:pt idx="90">
                  <c:v>126.824749343566</c:v>
                </c:pt>
                <c:pt idx="91">
                  <c:v>123.552491416477</c:v>
                </c:pt>
                <c:pt idx="92">
                  <c:v>119.578068599848</c:v>
                </c:pt>
                <c:pt idx="93">
                  <c:v>117.610212933279</c:v>
                </c:pt>
                <c:pt idx="94">
                  <c:v>115.691201061577</c:v>
                </c:pt>
                <c:pt idx="95">
                  <c:v>112.214781075636</c:v>
                </c:pt>
                <c:pt idx="96">
                  <c:v>109.56801376569101</c:v>
                </c:pt>
                <c:pt idx="97">
                  <c:v>108.608348928677</c:v>
                </c:pt>
                <c:pt idx="98">
                  <c:v>107.01637921030201</c:v>
                </c:pt>
                <c:pt idx="99">
                  <c:v>105.10132723176901</c:v>
                </c:pt>
                <c:pt idx="100">
                  <c:v>104.89552156440899</c:v>
                </c:pt>
                <c:pt idx="101">
                  <c:v>104.51381394225</c:v>
                </c:pt>
                <c:pt idx="102">
                  <c:v>102.493145542245</c:v>
                </c:pt>
                <c:pt idx="103">
                  <c:v>99.821491955734302</c:v>
                </c:pt>
                <c:pt idx="104">
                  <c:v>97.3280077205944</c:v>
                </c:pt>
                <c:pt idx="105">
                  <c:v>95.066287006123801</c:v>
                </c:pt>
                <c:pt idx="106">
                  <c:v>92.432710021533495</c:v>
                </c:pt>
                <c:pt idx="107">
                  <c:v>89.646379834884101</c:v>
                </c:pt>
                <c:pt idx="108">
                  <c:v>87.028048078790405</c:v>
                </c:pt>
                <c:pt idx="109">
                  <c:v>84.449131727272004</c:v>
                </c:pt>
                <c:pt idx="110">
                  <c:v>81.844963724671501</c:v>
                </c:pt>
                <c:pt idx="111">
                  <c:v>79.191840197113805</c:v>
                </c:pt>
                <c:pt idx="112">
                  <c:v>76.486173663646497</c:v>
                </c:pt>
                <c:pt idx="113">
                  <c:v>73.730520272643005</c:v>
                </c:pt>
                <c:pt idx="114">
                  <c:v>70.929129121837605</c:v>
                </c:pt>
                <c:pt idx="115">
                  <c:v>68.086782250336299</c:v>
                </c:pt>
                <c:pt idx="116">
                  <c:v>65.208804882361605</c:v>
                </c:pt>
                <c:pt idx="117">
                  <c:v>62.299592678616897</c:v>
                </c:pt>
                <c:pt idx="118">
                  <c:v>59.362377567161197</c:v>
                </c:pt>
                <c:pt idx="119">
                  <c:v>56.399321889327197</c:v>
                </c:pt>
                <c:pt idx="120">
                  <c:v>53.4111337072395</c:v>
                </c:pt>
                <c:pt idx="121">
                  <c:v>50.3972559989326</c:v>
                </c:pt>
                <c:pt idx="122">
                  <c:v>47.3568100022095</c:v>
                </c:pt>
                <c:pt idx="123">
                  <c:v>44.288704316028699</c:v>
                </c:pt>
                <c:pt idx="124">
                  <c:v>41.191674491189403</c:v>
                </c:pt>
                <c:pt idx="125">
                  <c:v>38.064317992401001</c:v>
                </c:pt>
                <c:pt idx="126">
                  <c:v>34.905126623290599</c:v>
                </c:pt>
                <c:pt idx="127">
                  <c:v>31.7125139248149</c:v>
                </c:pt>
                <c:pt idx="128">
                  <c:v>28.484839310958499</c:v>
                </c:pt>
                <c:pt idx="129">
                  <c:v>25.2205578117111</c:v>
                </c:pt>
                <c:pt idx="130">
                  <c:v>21.9184405862432</c:v>
                </c:pt>
                <c:pt idx="131">
                  <c:v>18.577377031181999</c:v>
                </c:pt>
                <c:pt idx="132">
                  <c:v>15.1963358332205</c:v>
                </c:pt>
                <c:pt idx="133">
                  <c:v>11.7743606799212</c:v>
                </c:pt>
                <c:pt idx="134">
                  <c:v>8.3105655841256993</c:v>
                </c:pt>
                <c:pt idx="135">
                  <c:v>4.8041300819373598</c:v>
                </c:pt>
                <c:pt idx="136">
                  <c:v>1.25429447714491</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numCache>
            </c:numRef>
          </c:val>
          <c:smooth val="0"/>
          <c:extLst>
            <c:ext xmlns:c16="http://schemas.microsoft.com/office/drawing/2014/chart" uri="{C3380CC4-5D6E-409C-BE32-E72D297353CC}">
              <c16:uniqueId val="{00000000-60FF-4FA1-BE73-512CC3BE495A}"/>
            </c:ext>
          </c:extLst>
        </c:ser>
        <c:dLbls>
          <c:showLegendKey val="0"/>
          <c:showVal val="0"/>
          <c:showCatName val="0"/>
          <c:showSerName val="0"/>
          <c:showPercent val="0"/>
          <c:showBubbleSize val="0"/>
        </c:dLbls>
        <c:smooth val="0"/>
        <c:axId val="387664392"/>
        <c:axId val="387668328"/>
      </c:lineChart>
      <c:catAx>
        <c:axId val="387664392"/>
        <c:scaling>
          <c:orientation val="minMax"/>
        </c:scaling>
        <c:delete val="0"/>
        <c:axPos val="b"/>
        <c:title>
          <c:tx>
            <c:rich>
              <a:bodyPr/>
              <a:lstStyle/>
              <a:p>
                <a:pPr>
                  <a:defRPr/>
                </a:pPr>
                <a:r>
                  <a:rPr lang="en-US"/>
                  <a:t>Occupancy Level</a:t>
                </a:r>
              </a:p>
            </c:rich>
          </c:tx>
          <c:overlay val="0"/>
        </c:title>
        <c:numFmt formatCode="General" sourceLinked="1"/>
        <c:majorTickMark val="out"/>
        <c:minorTickMark val="none"/>
        <c:tickLblPos val="nextTo"/>
        <c:txPr>
          <a:bodyPr rot="-2700000" vert="horz"/>
          <a:lstStyle/>
          <a:p>
            <a:pPr>
              <a:defRPr/>
            </a:pPr>
            <a:endParaRPr lang="en-US"/>
          </a:p>
        </c:txPr>
        <c:crossAx val="387668328"/>
        <c:crosses val="autoZero"/>
        <c:auto val="1"/>
        <c:lblAlgn val="ctr"/>
        <c:lblOffset val="100"/>
        <c:tickLblSkip val="1"/>
        <c:noMultiLvlLbl val="0"/>
      </c:catAx>
      <c:valAx>
        <c:axId val="387668328"/>
        <c:scaling>
          <c:orientation val="minMax"/>
        </c:scaling>
        <c:delete val="0"/>
        <c:axPos val="l"/>
        <c:majorGridlines/>
        <c:title>
          <c:tx>
            <c:rich>
              <a:bodyPr/>
              <a:lstStyle/>
              <a:p>
                <a:pPr>
                  <a:defRPr/>
                </a:pPr>
                <a:r>
                  <a:rPr lang="en-US"/>
                  <a:t>Delay Time (min)</a:t>
                </a:r>
              </a:p>
            </c:rich>
          </c:tx>
          <c:overlay val="0"/>
        </c:title>
        <c:numFmt formatCode="General" sourceLinked="1"/>
        <c:majorTickMark val="out"/>
        <c:minorTickMark val="none"/>
        <c:tickLblPos val="nextTo"/>
        <c:crossAx val="387664392"/>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Percent of Patients Delayed (%)</a:t>
            </a:r>
          </a:p>
        </c:rich>
      </c:tx>
      <c:overlay val="0"/>
    </c:title>
    <c:autoTitleDeleted val="0"/>
    <c:plotArea>
      <c:layout/>
      <c:lineChart>
        <c:grouping val="standard"/>
        <c:varyColors val="0"/>
        <c:ser>
          <c:idx val="0"/>
          <c:order val="0"/>
          <c:tx>
            <c:v>More than 0 hr</c:v>
          </c:tx>
          <c:spPr>
            <a:ln>
              <a:solidFill>
                <a:srgbClr val="4E2A84"/>
              </a:solidFill>
              <a:prstDash val="solid"/>
            </a:ln>
          </c:spPr>
          <c:marker>
            <c:symbol val="none"/>
          </c:marker>
          <c:dPt>
            <c:idx val="26"/>
            <c:marker>
              <c:symbol val="diamond"/>
              <c:size val="14"/>
              <c:spPr>
                <a:solidFill>
                  <a:srgbClr val="FFFF00"/>
                </a:solidFill>
              </c:spPr>
            </c:marker>
            <c:bubble3D val="0"/>
            <c:extLst>
              <c:ext xmlns:c16="http://schemas.microsoft.com/office/drawing/2014/chart" uri="{C3380CC4-5D6E-409C-BE32-E72D297353CC}">
                <c16:uniqueId val="{00000003-6F0E-44F5-907C-81062CC72495}"/>
              </c:ext>
            </c:extLst>
          </c:dPt>
          <c:cat>
            <c:numRef>
              <c:f>SimulationFit!$A$2:$A$152</c:f>
              <c:numCache>
                <c:formatCode>General</c:formatCode>
                <c:ptCount val="151"/>
                <c:pt idx="10">
                  <c:v>0.99</c:v>
                </c:pt>
                <c:pt idx="20">
                  <c:v>0.98</c:v>
                </c:pt>
                <c:pt idx="30">
                  <c:v>0.97</c:v>
                </c:pt>
                <c:pt idx="40">
                  <c:v>0.96</c:v>
                </c:pt>
                <c:pt idx="50">
                  <c:v>0.95</c:v>
                </c:pt>
                <c:pt idx="60">
                  <c:v>0.94</c:v>
                </c:pt>
                <c:pt idx="70">
                  <c:v>0.93</c:v>
                </c:pt>
                <c:pt idx="80">
                  <c:v>0.92</c:v>
                </c:pt>
                <c:pt idx="90">
                  <c:v>0.91</c:v>
                </c:pt>
                <c:pt idx="100" formatCode="0.00">
                  <c:v>0.9</c:v>
                </c:pt>
                <c:pt idx="110">
                  <c:v>0.89</c:v>
                </c:pt>
                <c:pt idx="120">
                  <c:v>0.88</c:v>
                </c:pt>
                <c:pt idx="130">
                  <c:v>0.87</c:v>
                </c:pt>
                <c:pt idx="140">
                  <c:v>0.86</c:v>
                </c:pt>
                <c:pt idx="150">
                  <c:v>0.85</c:v>
                </c:pt>
              </c:numCache>
            </c:numRef>
          </c:cat>
          <c:val>
            <c:numRef>
              <c:f>SimulationFit!$E$2:$E$152</c:f>
              <c:numCache>
                <c:formatCode>General</c:formatCode>
                <c:ptCount val="151"/>
                <c:pt idx="0">
                  <c:v>0.62188582918449797</c:v>
                </c:pt>
                <c:pt idx="1">
                  <c:v>0.61965091935502303</c:v>
                </c:pt>
                <c:pt idx="2">
                  <c:v>0.61731805956350905</c:v>
                </c:pt>
                <c:pt idx="3">
                  <c:v>0.61488639023570602</c:v>
                </c:pt>
                <c:pt idx="4">
                  <c:v>0.61235501109076895</c:v>
                </c:pt>
                <c:pt idx="5">
                  <c:v>0.60972297972169898</c:v>
                </c:pt>
                <c:pt idx="6">
                  <c:v>0.606989310316013</c:v>
                </c:pt>
                <c:pt idx="7">
                  <c:v>0.60415297257873102</c:v>
                </c:pt>
                <c:pt idx="8">
                  <c:v>0.60121289093594499</c:v>
                </c:pt>
                <c:pt idx="9">
                  <c:v>0.59816794411679797</c:v>
                </c:pt>
                <c:pt idx="10">
                  <c:v>0.59501696523580705</c:v>
                </c:pt>
                <c:pt idx="11">
                  <c:v>0.59175874252640404</c:v>
                </c:pt>
                <c:pt idx="12">
                  <c:v>0.58839202091129605</c:v>
                </c:pt>
                <c:pt idx="13">
                  <c:v>0.58491550463634401</c:v>
                </c:pt>
                <c:pt idx="14">
                  <c:v>0.58132786124241997</c:v>
                </c:pt>
                <c:pt idx="15">
                  <c:v>0.57762772714181998</c:v>
                </c:pt>
                <c:pt idx="16">
                  <c:v>0.573813497327894</c:v>
                </c:pt>
                <c:pt idx="17">
                  <c:v>0.56988293747368102</c:v>
                </c:pt>
                <c:pt idx="18">
                  <c:v>0.56583391833310304</c:v>
                </c:pt>
                <c:pt idx="19">
                  <c:v>0.56166461746089502</c:v>
                </c:pt>
                <c:pt idx="20">
                  <c:v>0.55737356280681605</c:v>
                </c:pt>
                <c:pt idx="21">
                  <c:v>0.552959684388593</c:v>
                </c:pt>
                <c:pt idx="22">
                  <c:v>0.54842275446526201</c:v>
                </c:pt>
                <c:pt idx="23">
                  <c:v>0.54376374506496405</c:v>
                </c:pt>
                <c:pt idx="24">
                  <c:v>0.53898432704638299</c:v>
                </c:pt>
                <c:pt idx="25">
                  <c:v>0.53408686185328003</c:v>
                </c:pt>
                <c:pt idx="26">
                  <c:v>0.52907445709051604</c:v>
                </c:pt>
                <c:pt idx="27">
                  <c:v>0.52395111835100205</c:v>
                </c:pt>
                <c:pt idx="28">
                  <c:v>0.51872314413398601</c:v>
                </c:pt>
                <c:pt idx="29">
                  <c:v>0.51339934345853699</c:v>
                </c:pt>
                <c:pt idx="30">
                  <c:v>0.50799037645260303</c:v>
                </c:pt>
                <c:pt idx="31">
                  <c:v>0.50250884600606904</c:v>
                </c:pt>
                <c:pt idx="32">
                  <c:v>0.49696937667311503</c:v>
                </c:pt>
                <c:pt idx="33">
                  <c:v>0.49138636313767903</c:v>
                </c:pt>
                <c:pt idx="34">
                  <c:v>0.485764830921397</c:v>
                </c:pt>
                <c:pt idx="35">
                  <c:v>0.48010209493973399</c:v>
                </c:pt>
                <c:pt idx="36">
                  <c:v>0.47438356850133001</c:v>
                </c:pt>
                <c:pt idx="37">
                  <c:v>0.46856594356208198</c:v>
                </c:pt>
                <c:pt idx="38">
                  <c:v>0.46253518189514198</c:v>
                </c:pt>
                <c:pt idx="39">
                  <c:v>0.456068179797394</c:v>
                </c:pt>
                <c:pt idx="40">
                  <c:v>0.44919574830040399</c:v>
                </c:pt>
                <c:pt idx="41">
                  <c:v>0.44175814484996601</c:v>
                </c:pt>
                <c:pt idx="42">
                  <c:v>0.43354858708664101</c:v>
                </c:pt>
                <c:pt idx="43">
                  <c:v>0.425526874302322</c:v>
                </c:pt>
                <c:pt idx="44">
                  <c:v>0.41715074728229701</c:v>
                </c:pt>
                <c:pt idx="45">
                  <c:v>0.40873199116312497</c:v>
                </c:pt>
                <c:pt idx="46">
                  <c:v>0.400580581114649</c:v>
                </c:pt>
                <c:pt idx="47">
                  <c:v>0.39303351376870499</c:v>
                </c:pt>
                <c:pt idx="48">
                  <c:v>0.38595799852421098</c:v>
                </c:pt>
                <c:pt idx="49">
                  <c:v>0.37865853395591498</c:v>
                </c:pt>
                <c:pt idx="50">
                  <c:v>0.37232310603296298</c:v>
                </c:pt>
                <c:pt idx="51">
                  <c:v>0.36705746064378902</c:v>
                </c:pt>
                <c:pt idx="52">
                  <c:v>0.36269348058459799</c:v>
                </c:pt>
                <c:pt idx="53">
                  <c:v>0.35908273320364098</c:v>
                </c:pt>
                <c:pt idx="54">
                  <c:v>0.35495519094240802</c:v>
                </c:pt>
                <c:pt idx="55">
                  <c:v>0.35067221986790298</c:v>
                </c:pt>
                <c:pt idx="56">
                  <c:v>0.345548772426089</c:v>
                </c:pt>
                <c:pt idx="57">
                  <c:v>0.34115710703774099</c:v>
                </c:pt>
                <c:pt idx="58">
                  <c:v>0.33511849635628199</c:v>
                </c:pt>
                <c:pt idx="59">
                  <c:v>0.32872975506940699</c:v>
                </c:pt>
                <c:pt idx="60">
                  <c:v>0.32239446926727899</c:v>
                </c:pt>
                <c:pt idx="61">
                  <c:v>0.31591518751002001</c:v>
                </c:pt>
                <c:pt idx="62">
                  <c:v>0.30889225017944799</c:v>
                </c:pt>
                <c:pt idx="63">
                  <c:v>0.30223375739859798</c:v>
                </c:pt>
                <c:pt idx="64">
                  <c:v>0.29617895668295402</c:v>
                </c:pt>
                <c:pt idx="65">
                  <c:v>0.290399333810335</c:v>
                </c:pt>
                <c:pt idx="66">
                  <c:v>0.28555795150132601</c:v>
                </c:pt>
                <c:pt idx="67">
                  <c:v>0.28095131309926102</c:v>
                </c:pt>
                <c:pt idx="68">
                  <c:v>0.27602190274813998</c:v>
                </c:pt>
                <c:pt idx="69">
                  <c:v>0.27120831402233297</c:v>
                </c:pt>
                <c:pt idx="70">
                  <c:v>0.267343335907961</c:v>
                </c:pt>
                <c:pt idx="71">
                  <c:v>0.26289703303421302</c:v>
                </c:pt>
                <c:pt idx="72">
                  <c:v>0.25734372494649899</c:v>
                </c:pt>
                <c:pt idx="73">
                  <c:v>0.251700386076882</c:v>
                </c:pt>
                <c:pt idx="74">
                  <c:v>0.24582393285100501</c:v>
                </c:pt>
                <c:pt idx="75">
                  <c:v>0.23932413147126799</c:v>
                </c:pt>
                <c:pt idx="76">
                  <c:v>0.23228540183847801</c:v>
                </c:pt>
                <c:pt idx="77">
                  <c:v>0.225624339939166</c:v>
                </c:pt>
                <c:pt idx="78">
                  <c:v>0.21988064533221099</c:v>
                </c:pt>
                <c:pt idx="79">
                  <c:v>0.214252550551045</c:v>
                </c:pt>
                <c:pt idx="80">
                  <c:v>0.20829151333622201</c:v>
                </c:pt>
                <c:pt idx="81">
                  <c:v>0.20287007400424201</c:v>
                </c:pt>
                <c:pt idx="82">
                  <c:v>0.19883499809258401</c:v>
                </c:pt>
                <c:pt idx="83">
                  <c:v>0.194542583399542</c:v>
                </c:pt>
                <c:pt idx="84">
                  <c:v>0.19052270938549201</c:v>
                </c:pt>
                <c:pt idx="85">
                  <c:v>0.187521197541478</c:v>
                </c:pt>
                <c:pt idx="86">
                  <c:v>0.18507168063865301</c:v>
                </c:pt>
                <c:pt idx="87">
                  <c:v>0.18212972744667799</c:v>
                </c:pt>
                <c:pt idx="88">
                  <c:v>0.17860083499510801</c:v>
                </c:pt>
                <c:pt idx="89">
                  <c:v>0.175526078253669</c:v>
                </c:pt>
                <c:pt idx="90">
                  <c:v>0.17239910057246799</c:v>
                </c:pt>
                <c:pt idx="91">
                  <c:v>0.16854940889381001</c:v>
                </c:pt>
                <c:pt idx="92">
                  <c:v>0.16423707937706</c:v>
                </c:pt>
                <c:pt idx="93">
                  <c:v>0.162149711614547</c:v>
                </c:pt>
                <c:pt idx="94">
                  <c:v>0.160327634480535</c:v>
                </c:pt>
                <c:pt idx="95">
                  <c:v>0.156757579535934</c:v>
                </c:pt>
                <c:pt idx="96">
                  <c:v>0.15396844154192199</c:v>
                </c:pt>
                <c:pt idx="97">
                  <c:v>0.15288233362456299</c:v>
                </c:pt>
                <c:pt idx="98">
                  <c:v>0.151338745051565</c:v>
                </c:pt>
                <c:pt idx="99">
                  <c:v>0.14926528710491199</c:v>
                </c:pt>
                <c:pt idx="100">
                  <c:v>0.148737732865348</c:v>
                </c:pt>
                <c:pt idx="101">
                  <c:v>0.14801406952937399</c:v>
                </c:pt>
                <c:pt idx="102">
                  <c:v>0.14559563836551401</c:v>
                </c:pt>
                <c:pt idx="103">
                  <c:v>0.142290621524989</c:v>
                </c:pt>
                <c:pt idx="104">
                  <c:v>0.139095234034741</c:v>
                </c:pt>
                <c:pt idx="105">
                  <c:v>0.13638676308072201</c:v>
                </c:pt>
                <c:pt idx="106">
                  <c:v>0.133393826361659</c:v>
                </c:pt>
                <c:pt idx="107">
                  <c:v>0.129975184205604</c:v>
                </c:pt>
                <c:pt idx="108">
                  <c:v>0.12670007107376</c:v>
                </c:pt>
                <c:pt idx="109">
                  <c:v>0.12360119866465399</c:v>
                </c:pt>
                <c:pt idx="110">
                  <c:v>0.12051479736935</c:v>
                </c:pt>
                <c:pt idx="111">
                  <c:v>0.117365066727748</c:v>
                </c:pt>
                <c:pt idx="112">
                  <c:v>0.114126984097056</c:v>
                </c:pt>
                <c:pt idx="113">
                  <c:v>0.110794720371639</c:v>
                </c:pt>
                <c:pt idx="114">
                  <c:v>0.10736981555055899</c:v>
                </c:pt>
                <c:pt idx="115">
                  <c:v>0.103857686039941</c:v>
                </c:pt>
                <c:pt idx="116">
                  <c:v>0.100267263405475</c:v>
                </c:pt>
                <c:pt idx="117">
                  <c:v>9.6606942579797198E-2</c:v>
                </c:pt>
                <c:pt idx="118">
                  <c:v>9.2883671235584497E-2</c:v>
                </c:pt>
                <c:pt idx="119">
                  <c:v>8.9102963042955993E-2</c:v>
                </c:pt>
                <c:pt idx="120">
                  <c:v>8.5268564149870704E-2</c:v>
                </c:pt>
                <c:pt idx="121">
                  <c:v>8.1382614010455906E-2</c:v>
                </c:pt>
                <c:pt idx="122">
                  <c:v>7.7446450284119395E-2</c:v>
                </c:pt>
                <c:pt idx="123">
                  <c:v>7.3460732340038207E-2</c:v>
                </c:pt>
                <c:pt idx="124">
                  <c:v>6.9425431559508102E-2</c:v>
                </c:pt>
                <c:pt idx="125">
                  <c:v>6.5339357688571201E-2</c:v>
                </c:pt>
                <c:pt idx="126">
                  <c:v>6.1200575160522401E-2</c:v>
                </c:pt>
                <c:pt idx="127">
                  <c:v>5.70067823482098E-2</c:v>
                </c:pt>
                <c:pt idx="128">
                  <c:v>5.2755371896525703E-2</c:v>
                </c:pt>
                <c:pt idx="129">
                  <c:v>4.8443834745879398E-2</c:v>
                </c:pt>
                <c:pt idx="130">
                  <c:v>4.4070364948786703E-2</c:v>
                </c:pt>
                <c:pt idx="131">
                  <c:v>3.9633331773139199E-2</c:v>
                </c:pt>
                <c:pt idx="132">
                  <c:v>3.5131185689634199E-2</c:v>
                </c:pt>
                <c:pt idx="133">
                  <c:v>3.0562458714613001E-2</c:v>
                </c:pt>
                <c:pt idx="134">
                  <c:v>2.5925763256320299E-2</c:v>
                </c:pt>
                <c:pt idx="135">
                  <c:v>2.1219789923548098E-2</c:v>
                </c:pt>
                <c:pt idx="136">
                  <c:v>1.6443304642033901E-2</c:v>
                </c:pt>
                <c:pt idx="137">
                  <c:v>1.1595145335840501E-2</c:v>
                </c:pt>
                <c:pt idx="138">
                  <c:v>6.67421836324657E-3</c:v>
                </c:pt>
                <c:pt idx="139">
                  <c:v>1.67949484509432E-3</c:v>
                </c:pt>
                <c:pt idx="140">
                  <c:v>0</c:v>
                </c:pt>
                <c:pt idx="141">
                  <c:v>0</c:v>
                </c:pt>
                <c:pt idx="142">
                  <c:v>0</c:v>
                </c:pt>
                <c:pt idx="143">
                  <c:v>0</c:v>
                </c:pt>
                <c:pt idx="144">
                  <c:v>0</c:v>
                </c:pt>
                <c:pt idx="145">
                  <c:v>0</c:v>
                </c:pt>
                <c:pt idx="146">
                  <c:v>0</c:v>
                </c:pt>
                <c:pt idx="147">
                  <c:v>0</c:v>
                </c:pt>
                <c:pt idx="148">
                  <c:v>0</c:v>
                </c:pt>
                <c:pt idx="149">
                  <c:v>0</c:v>
                </c:pt>
                <c:pt idx="150">
                  <c:v>0</c:v>
                </c:pt>
              </c:numCache>
            </c:numRef>
          </c:val>
          <c:smooth val="0"/>
          <c:extLst>
            <c:ext xmlns:c16="http://schemas.microsoft.com/office/drawing/2014/chart" uri="{C3380CC4-5D6E-409C-BE32-E72D297353CC}">
              <c16:uniqueId val="{00000000-6F0E-44F5-907C-81062CC72495}"/>
            </c:ext>
          </c:extLst>
        </c:ser>
        <c:ser>
          <c:idx val="1"/>
          <c:order val="1"/>
          <c:tx>
            <c:v>More than 1 hr</c:v>
          </c:tx>
          <c:marker>
            <c:symbol val="none"/>
          </c:marker>
          <c:dPt>
            <c:idx val="26"/>
            <c:marker>
              <c:symbol val="diamond"/>
              <c:size val="14"/>
              <c:spPr>
                <a:solidFill>
                  <a:srgbClr val="FFFF00"/>
                </a:solidFill>
              </c:spPr>
            </c:marker>
            <c:bubble3D val="0"/>
            <c:extLst>
              <c:ext xmlns:c16="http://schemas.microsoft.com/office/drawing/2014/chart" uri="{C3380CC4-5D6E-409C-BE32-E72D297353CC}">
                <c16:uniqueId val="{00000004-6F0E-44F5-907C-81062CC72495}"/>
              </c:ext>
            </c:extLst>
          </c:dPt>
          <c:val>
            <c:numRef>
              <c:f>SimulationFit!$F$2:$F$152</c:f>
              <c:numCache>
                <c:formatCode>General</c:formatCode>
                <c:ptCount val="151"/>
                <c:pt idx="0">
                  <c:v>0.56171079163769799</c:v>
                </c:pt>
                <c:pt idx="1">
                  <c:v>0.55967837809705701</c:v>
                </c:pt>
                <c:pt idx="2">
                  <c:v>0.557528380520527</c:v>
                </c:pt>
                <c:pt idx="3">
                  <c:v>0.55526004086954395</c:v>
                </c:pt>
                <c:pt idx="4">
                  <c:v>0.55287257173629401</c:v>
                </c:pt>
                <c:pt idx="5">
                  <c:v>0.55036515646810202</c:v>
                </c:pt>
                <c:pt idx="6">
                  <c:v>0.54773694967982001</c:v>
                </c:pt>
                <c:pt idx="7">
                  <c:v>0.54498707826152504</c:v>
                </c:pt>
                <c:pt idx="8">
                  <c:v>0.54211464301396395</c:v>
                </c:pt>
                <c:pt idx="9">
                  <c:v>0.53911872107463299</c:v>
                </c:pt>
                <c:pt idx="10">
                  <c:v>0.53599836933453704</c:v>
                </c:pt>
                <c:pt idx="11">
                  <c:v>0.53275262909026799</c:v>
                </c:pt>
                <c:pt idx="12">
                  <c:v>0.52938053222955395</c:v>
                </c:pt>
                <c:pt idx="13">
                  <c:v>0.525881109311641</c:v>
                </c:pt>
                <c:pt idx="14">
                  <c:v>0.52225339997778197</c:v>
                </c:pt>
                <c:pt idx="15">
                  <c:v>0.51849646616421596</c:v>
                </c:pt>
                <c:pt idx="16">
                  <c:v>0.51460924460452295</c:v>
                </c:pt>
                <c:pt idx="17">
                  <c:v>0.51059028002630502</c:v>
                </c:pt>
                <c:pt idx="18">
                  <c:v>0.50643831009102402</c:v>
                </c:pt>
                <c:pt idx="19">
                  <c:v>0.50215243114832997</c:v>
                </c:pt>
                <c:pt idx="20">
                  <c:v>0.49773214279320799</c:v>
                </c:pt>
                <c:pt idx="21">
                  <c:v>0.493177399870737</c:v>
                </c:pt>
                <c:pt idx="22">
                  <c:v>0.48848903306344299</c:v>
                </c:pt>
                <c:pt idx="23">
                  <c:v>0.48366908861134</c:v>
                </c:pt>
                <c:pt idx="24">
                  <c:v>0.478720351169244</c:v>
                </c:pt>
                <c:pt idx="25">
                  <c:v>0.473646334109389</c:v>
                </c:pt>
                <c:pt idx="26">
                  <c:v>0.46845132711631499</c:v>
                </c:pt>
                <c:pt idx="27">
                  <c:v>0.46314052029394098</c:v>
                </c:pt>
                <c:pt idx="28">
                  <c:v>0.45772117298346199</c:v>
                </c:pt>
                <c:pt idx="29">
                  <c:v>0.45220274074518801</c:v>
                </c:pt>
                <c:pt idx="30">
                  <c:v>0.44659622897724099</c:v>
                </c:pt>
                <c:pt idx="31">
                  <c:v>0.44091413914351102</c:v>
                </c:pt>
                <c:pt idx="32">
                  <c:v>0.43517030607124002</c:v>
                </c:pt>
                <c:pt idx="33">
                  <c:v>0.42937710661363898</c:v>
                </c:pt>
                <c:pt idx="34">
                  <c:v>0.42353504605496001</c:v>
                </c:pt>
                <c:pt idx="35">
                  <c:v>0.41763323512197997</c:v>
                </c:pt>
                <c:pt idx="36">
                  <c:v>0.41164321898755801</c:v>
                </c:pt>
                <c:pt idx="37">
                  <c:v>0.40550102205899302</c:v>
                </c:pt>
                <c:pt idx="38">
                  <c:v>0.399077237160822</c:v>
                </c:pt>
                <c:pt idx="39">
                  <c:v>0.39219993832042999</c:v>
                </c:pt>
                <c:pt idx="40">
                  <c:v>0.38505532776974799</c:v>
                </c:pt>
                <c:pt idx="41">
                  <c:v>0.37756362992651799</c:v>
                </c:pt>
                <c:pt idx="42">
                  <c:v>0.36942257080961499</c:v>
                </c:pt>
                <c:pt idx="43">
                  <c:v>0.36134583632904099</c:v>
                </c:pt>
                <c:pt idx="44">
                  <c:v>0.35284602835009499</c:v>
                </c:pt>
                <c:pt idx="45">
                  <c:v>0.34442631723867101</c:v>
                </c:pt>
                <c:pt idx="46">
                  <c:v>0.33664194994377</c:v>
                </c:pt>
                <c:pt idx="47">
                  <c:v>0.32963759096599599</c:v>
                </c:pt>
                <c:pt idx="48">
                  <c:v>0.32306992849512101</c:v>
                </c:pt>
                <c:pt idx="49">
                  <c:v>0.31617302107204198</c:v>
                </c:pt>
                <c:pt idx="50">
                  <c:v>0.31038038690532199</c:v>
                </c:pt>
                <c:pt idx="51">
                  <c:v>0.30583015661117602</c:v>
                </c:pt>
                <c:pt idx="52">
                  <c:v>0.30231466829732301</c:v>
                </c:pt>
                <c:pt idx="53">
                  <c:v>0.29956188388238902</c:v>
                </c:pt>
                <c:pt idx="54">
                  <c:v>0.296321082535556</c:v>
                </c:pt>
                <c:pt idx="55">
                  <c:v>0.293061429507462</c:v>
                </c:pt>
                <c:pt idx="56">
                  <c:v>0.28894417545247097</c:v>
                </c:pt>
                <c:pt idx="57">
                  <c:v>0.28534939841609802</c:v>
                </c:pt>
                <c:pt idx="58">
                  <c:v>0.28006197205338501</c:v>
                </c:pt>
                <c:pt idx="59">
                  <c:v>0.27449088371830999</c:v>
                </c:pt>
                <c:pt idx="60">
                  <c:v>0.26906348614498798</c:v>
                </c:pt>
                <c:pt idx="61">
                  <c:v>0.263299622438248</c:v>
                </c:pt>
                <c:pt idx="62">
                  <c:v>0.25677661713334499</c:v>
                </c:pt>
                <c:pt idx="63">
                  <c:v>0.25044958202457002</c:v>
                </c:pt>
                <c:pt idx="64">
                  <c:v>0.24471509932390101</c:v>
                </c:pt>
                <c:pt idx="65">
                  <c:v>0.23932709839184599</c:v>
                </c:pt>
                <c:pt idx="66">
                  <c:v>0.23486425882442</c:v>
                </c:pt>
                <c:pt idx="67">
                  <c:v>0.23056105849959199</c:v>
                </c:pt>
                <c:pt idx="68">
                  <c:v>0.22596050559102801</c:v>
                </c:pt>
                <c:pt idx="69">
                  <c:v>0.22159125380314701</c:v>
                </c:pt>
                <c:pt idx="70">
                  <c:v>0.218087133854933</c:v>
                </c:pt>
                <c:pt idx="71">
                  <c:v>0.213963851084461</c:v>
                </c:pt>
                <c:pt idx="72">
                  <c:v>0.20880288214721701</c:v>
                </c:pt>
                <c:pt idx="73">
                  <c:v>0.203634651662601</c:v>
                </c:pt>
                <c:pt idx="74">
                  <c:v>0.19814809521471299</c:v>
                </c:pt>
                <c:pt idx="75">
                  <c:v>0.19197642011348701</c:v>
                </c:pt>
                <c:pt idx="76">
                  <c:v>0.18526051136568</c:v>
                </c:pt>
                <c:pt idx="77">
                  <c:v>0.178964859688895</c:v>
                </c:pt>
                <c:pt idx="78">
                  <c:v>0.17354861606178401</c:v>
                </c:pt>
                <c:pt idx="79">
                  <c:v>0.168253095326029</c:v>
                </c:pt>
                <c:pt idx="80">
                  <c:v>0.16267016715608601</c:v>
                </c:pt>
                <c:pt idx="81">
                  <c:v>0.15763953087427099</c:v>
                </c:pt>
                <c:pt idx="82">
                  <c:v>0.15403042917474</c:v>
                </c:pt>
                <c:pt idx="83">
                  <c:v>0.150272456073276</c:v>
                </c:pt>
                <c:pt idx="84">
                  <c:v>0.14694902599221299</c:v>
                </c:pt>
                <c:pt idx="85">
                  <c:v>0.14454673362942499</c:v>
                </c:pt>
                <c:pt idx="86">
                  <c:v>0.14271305390779701</c:v>
                </c:pt>
                <c:pt idx="87">
                  <c:v>0.14044583703529601</c:v>
                </c:pt>
                <c:pt idx="88">
                  <c:v>0.13763520916101801</c:v>
                </c:pt>
                <c:pt idx="89">
                  <c:v>0.13511726887522299</c:v>
                </c:pt>
                <c:pt idx="90">
                  <c:v>0.13258407576676101</c:v>
                </c:pt>
                <c:pt idx="91">
                  <c:v>0.12933620273551799</c:v>
                </c:pt>
                <c:pt idx="92">
                  <c:v>0.12549838678294101</c:v>
                </c:pt>
                <c:pt idx="93">
                  <c:v>0.123657956699843</c:v>
                </c:pt>
                <c:pt idx="94">
                  <c:v>0.122031594796899</c:v>
                </c:pt>
                <c:pt idx="95">
                  <c:v>0.118802428336789</c:v>
                </c:pt>
                <c:pt idx="96">
                  <c:v>0.116330843740881</c:v>
                </c:pt>
                <c:pt idx="97">
                  <c:v>0.115546679537521</c:v>
                </c:pt>
                <c:pt idx="98">
                  <c:v>0.114428011799841</c:v>
                </c:pt>
                <c:pt idx="99">
                  <c:v>0.112964751688837</c:v>
                </c:pt>
                <c:pt idx="100">
                  <c:v>0.112904783853427</c:v>
                </c:pt>
                <c:pt idx="101">
                  <c:v>0.11274172183252899</c:v>
                </c:pt>
                <c:pt idx="102">
                  <c:v>0.11103768033912199</c:v>
                </c:pt>
                <c:pt idx="103">
                  <c:v>0.10850822853077401</c:v>
                </c:pt>
                <c:pt idx="104">
                  <c:v>0.10601381600910401</c:v>
                </c:pt>
                <c:pt idx="105">
                  <c:v>0.103947617168254</c:v>
                </c:pt>
                <c:pt idx="106">
                  <c:v>0.10144793610835701</c:v>
                </c:pt>
                <c:pt idx="107">
                  <c:v>9.8488371074245504E-2</c:v>
                </c:pt>
                <c:pt idx="108">
                  <c:v>9.55444191501678E-2</c:v>
                </c:pt>
                <c:pt idx="109">
                  <c:v>9.2700130470990599E-2</c:v>
                </c:pt>
                <c:pt idx="110">
                  <c:v>8.99040627974034E-2</c:v>
                </c:pt>
                <c:pt idx="111">
                  <c:v>8.7103093472701995E-2</c:v>
                </c:pt>
                <c:pt idx="112">
                  <c:v>8.4270274648314505E-2</c:v>
                </c:pt>
                <c:pt idx="113">
                  <c:v>8.1393919169055307E-2</c:v>
                </c:pt>
                <c:pt idx="114">
                  <c:v>7.8469781914538503E-2</c:v>
                </c:pt>
                <c:pt idx="115">
                  <c:v>7.5497792967192598E-2</c:v>
                </c:pt>
                <c:pt idx="116">
                  <c:v>7.2481057867047796E-2</c:v>
                </c:pt>
                <c:pt idx="117">
                  <c:v>6.9423125255124299E-2</c:v>
                </c:pt>
                <c:pt idx="118">
                  <c:v>6.6327249235075006E-2</c:v>
                </c:pt>
                <c:pt idx="119">
                  <c:v>6.3196267513990698E-2</c:v>
                </c:pt>
                <c:pt idx="120">
                  <c:v>6.00324261195474E-2</c:v>
                </c:pt>
                <c:pt idx="121">
                  <c:v>5.6837384741824801E-2</c:v>
                </c:pt>
                <c:pt idx="122">
                  <c:v>5.3612455242923102E-2</c:v>
                </c:pt>
                <c:pt idx="123">
                  <c:v>5.0358640770715002E-2</c:v>
                </c:pt>
                <c:pt idx="124">
                  <c:v>4.70766342523916E-2</c:v>
                </c:pt>
                <c:pt idx="125">
                  <c:v>4.3766658310899202E-2</c:v>
                </c:pt>
                <c:pt idx="126">
                  <c:v>4.0428612295002102E-2</c:v>
                </c:pt>
                <c:pt idx="127">
                  <c:v>3.7062207278127597E-2</c:v>
                </c:pt>
                <c:pt idx="128">
                  <c:v>3.3666991155873599E-2</c:v>
                </c:pt>
                <c:pt idx="129">
                  <c:v>3.02424508139125E-2</c:v>
                </c:pt>
                <c:pt idx="130">
                  <c:v>2.6788172670177999E-2</c:v>
                </c:pt>
                <c:pt idx="131">
                  <c:v>2.3303748902604601E-2</c:v>
                </c:pt>
                <c:pt idx="132">
                  <c:v>1.9788766163414E-2</c:v>
                </c:pt>
                <c:pt idx="133">
                  <c:v>1.6242812419997699E-2</c:v>
                </c:pt>
                <c:pt idx="134">
                  <c:v>1.26654819064554E-2</c:v>
                </c:pt>
                <c:pt idx="135">
                  <c:v>9.0563786320467903E-3</c:v>
                </c:pt>
                <c:pt idx="136">
                  <c:v>5.4151187926403197E-3</c:v>
                </c:pt>
                <c:pt idx="137">
                  <c:v>1.7413323524533299E-3</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numCache>
            </c:numRef>
          </c:val>
          <c:smooth val="0"/>
          <c:extLst>
            <c:ext xmlns:c16="http://schemas.microsoft.com/office/drawing/2014/chart" uri="{C3380CC4-5D6E-409C-BE32-E72D297353CC}">
              <c16:uniqueId val="{00000001-6F0E-44F5-907C-81062CC72495}"/>
            </c:ext>
          </c:extLst>
        </c:ser>
        <c:ser>
          <c:idx val="2"/>
          <c:order val="2"/>
          <c:tx>
            <c:v>More than 2 hrs</c:v>
          </c:tx>
          <c:marker>
            <c:symbol val="none"/>
          </c:marker>
          <c:dPt>
            <c:idx val="26"/>
            <c:marker>
              <c:symbol val="diamond"/>
              <c:size val="14"/>
              <c:spPr>
                <a:solidFill>
                  <a:srgbClr val="FFFF00"/>
                </a:solidFill>
              </c:spPr>
            </c:marker>
            <c:bubble3D val="0"/>
            <c:extLst>
              <c:ext xmlns:c16="http://schemas.microsoft.com/office/drawing/2014/chart" uri="{C3380CC4-5D6E-409C-BE32-E72D297353CC}">
                <c16:uniqueId val="{00000005-6F0E-44F5-907C-81062CC72495}"/>
              </c:ext>
            </c:extLst>
          </c:dPt>
          <c:val>
            <c:numRef>
              <c:f>SimulationFit!$G$2:$G$152</c:f>
              <c:numCache>
                <c:formatCode>General</c:formatCode>
                <c:ptCount val="151"/>
                <c:pt idx="0">
                  <c:v>0.51707953982612298</c:v>
                </c:pt>
                <c:pt idx="1">
                  <c:v>0.51406843363374199</c:v>
                </c:pt>
                <c:pt idx="2">
                  <c:v>0.51096106009491604</c:v>
                </c:pt>
                <c:pt idx="3">
                  <c:v>0.50775715500512997</c:v>
                </c:pt>
                <c:pt idx="4">
                  <c:v>0.50445645856535903</c:v>
                </c:pt>
                <c:pt idx="5">
                  <c:v>0.50105871784188805</c:v>
                </c:pt>
                <c:pt idx="6">
                  <c:v>0.497563689711993</c:v>
                </c:pt>
                <c:pt idx="7">
                  <c:v>0.49397114438260598</c:v>
                </c:pt>
                <c:pt idx="8">
                  <c:v>0.49028086958435002</c:v>
                </c:pt>
                <c:pt idx="9">
                  <c:v>0.48649267556107201</c:v>
                </c:pt>
                <c:pt idx="10">
                  <c:v>0.48260640099560198</c:v>
                </c:pt>
                <c:pt idx="11">
                  <c:v>0.47862192003597898</c:v>
                </c:pt>
                <c:pt idx="12">
                  <c:v>0.47453915061318103</c:v>
                </c:pt>
                <c:pt idx="13">
                  <c:v>0.47035806427129501</c:v>
                </c:pt>
                <c:pt idx="14">
                  <c:v>0.46607869776391497</c:v>
                </c:pt>
                <c:pt idx="15">
                  <c:v>0.46170116668300398</c:v>
                </c:pt>
                <c:pt idx="16">
                  <c:v>0.457225604667096</c:v>
                </c:pt>
                <c:pt idx="17">
                  <c:v>0.45265205503719702</c:v>
                </c:pt>
                <c:pt idx="18">
                  <c:v>0.44798076176153101</c:v>
                </c:pt>
                <c:pt idx="19">
                  <c:v>0.44321225045440799</c:v>
                </c:pt>
                <c:pt idx="20">
                  <c:v>0.43834735034641698</c:v>
                </c:pt>
                <c:pt idx="21">
                  <c:v>0.43338722106852501</c:v>
                </c:pt>
                <c:pt idx="22">
                  <c:v>0.428333700738951</c:v>
                </c:pt>
                <c:pt idx="23">
                  <c:v>0.42318955613370202</c:v>
                </c:pt>
                <c:pt idx="24">
                  <c:v>0.41795801393912302</c:v>
                </c:pt>
                <c:pt idx="25">
                  <c:v>0.41264272163283899</c:v>
                </c:pt>
                <c:pt idx="26">
                  <c:v>0.40724775677313202</c:v>
                </c:pt>
                <c:pt idx="27">
                  <c:v>0.401777653447701</c:v>
                </c:pt>
                <c:pt idx="28">
                  <c:v>0.39623770784260398</c:v>
                </c:pt>
                <c:pt idx="29">
                  <c:v>0.39063395136667001</c:v>
                </c:pt>
                <c:pt idx="30">
                  <c:v>0.38497290153452801</c:v>
                </c:pt>
                <c:pt idx="31">
                  <c:v>0.37926146223442903</c:v>
                </c:pt>
                <c:pt idx="32">
                  <c:v>0.37350675215257001</c:v>
                </c:pt>
                <c:pt idx="33">
                  <c:v>0.36771447493148302</c:v>
                </c:pt>
                <c:pt idx="34">
                  <c:v>0.36188325111135899</c:v>
                </c:pt>
                <c:pt idx="35">
                  <c:v>0.35600579263716198</c:v>
                </c:pt>
                <c:pt idx="36">
                  <c:v>0.35006773878106601</c:v>
                </c:pt>
                <c:pt idx="37">
                  <c:v>0.34404349303635701</c:v>
                </c:pt>
                <c:pt idx="38">
                  <c:v>0.33788886589072298</c:v>
                </c:pt>
                <c:pt idx="39">
                  <c:v>0.331531163599526</c:v>
                </c:pt>
                <c:pt idx="40">
                  <c:v>0.32485908136295899</c:v>
                </c:pt>
                <c:pt idx="41">
                  <c:v>0.31775390781836699</c:v>
                </c:pt>
                <c:pt idx="42">
                  <c:v>0.31025331813691098</c:v>
                </c:pt>
                <c:pt idx="43">
                  <c:v>0.30255394558756799</c:v>
                </c:pt>
                <c:pt idx="44">
                  <c:v>0.29513045999798099</c:v>
                </c:pt>
                <c:pt idx="45">
                  <c:v>0.28812093327365101</c:v>
                </c:pt>
                <c:pt idx="46">
                  <c:v>0.28043885519635198</c:v>
                </c:pt>
                <c:pt idx="47">
                  <c:v>0.27283714172926599</c:v>
                </c:pt>
                <c:pt idx="48">
                  <c:v>0.26622030410780001</c:v>
                </c:pt>
                <c:pt idx="49">
                  <c:v>0.26146302235749203</c:v>
                </c:pt>
                <c:pt idx="50">
                  <c:v>0.25774370999651702</c:v>
                </c:pt>
                <c:pt idx="51">
                  <c:v>0.25294901050144403</c:v>
                </c:pt>
                <c:pt idx="52">
                  <c:v>0.248301716092729</c:v>
                </c:pt>
                <c:pt idx="53">
                  <c:v>0.244711139263839</c:v>
                </c:pt>
                <c:pt idx="54">
                  <c:v>0.24183828409706201</c:v>
                </c:pt>
                <c:pt idx="55">
                  <c:v>0.238039376785042</c:v>
                </c:pt>
                <c:pt idx="56">
                  <c:v>0.233977291790467</c:v>
                </c:pt>
                <c:pt idx="57">
                  <c:v>0.23083186162209801</c:v>
                </c:pt>
                <c:pt idx="58">
                  <c:v>0.22715091499160101</c:v>
                </c:pt>
                <c:pt idx="59">
                  <c:v>0.222115427513427</c:v>
                </c:pt>
                <c:pt idx="60">
                  <c:v>0.21654264820045699</c:v>
                </c:pt>
                <c:pt idx="61">
                  <c:v>0.211270830703643</c:v>
                </c:pt>
                <c:pt idx="62">
                  <c:v>0.20632009969325399</c:v>
                </c:pt>
                <c:pt idx="63">
                  <c:v>0.20119087020874199</c:v>
                </c:pt>
                <c:pt idx="64">
                  <c:v>0.196134784431715</c:v>
                </c:pt>
                <c:pt idx="65">
                  <c:v>0.19169557056769401</c:v>
                </c:pt>
                <c:pt idx="66">
                  <c:v>0.18765455180502499</c:v>
                </c:pt>
                <c:pt idx="67">
                  <c:v>0.18335817610799901</c:v>
                </c:pt>
                <c:pt idx="68">
                  <c:v>0.17951632001560999</c:v>
                </c:pt>
                <c:pt idx="69">
                  <c:v>0.176385688271816</c:v>
                </c:pt>
                <c:pt idx="70">
                  <c:v>0.17261084282391501</c:v>
                </c:pt>
                <c:pt idx="71">
                  <c:v>0.16843283733797501</c:v>
                </c:pt>
                <c:pt idx="72">
                  <c:v>0.16480112838400199</c:v>
                </c:pt>
                <c:pt idx="73">
                  <c:v>0.161239220395475</c:v>
                </c:pt>
                <c:pt idx="74">
                  <c:v>0.15667246771829499</c:v>
                </c:pt>
                <c:pt idx="75">
                  <c:v>0.15167013947327601</c:v>
                </c:pt>
                <c:pt idx="76">
                  <c:v>0.14652531579814199</c:v>
                </c:pt>
                <c:pt idx="77">
                  <c:v>0.14134978389740599</c:v>
                </c:pt>
                <c:pt idx="78">
                  <c:v>0.135794014060926</c:v>
                </c:pt>
                <c:pt idx="79">
                  <c:v>0.130427671928774</c:v>
                </c:pt>
                <c:pt idx="80">
                  <c:v>0.126042431555067</c:v>
                </c:pt>
                <c:pt idx="81">
                  <c:v>0.12229842737034601</c:v>
                </c:pt>
                <c:pt idx="82">
                  <c:v>0.11858013064579701</c:v>
                </c:pt>
                <c:pt idx="83">
                  <c:v>0.114845392600211</c:v>
                </c:pt>
                <c:pt idx="84">
                  <c:v>0.112149035355011</c:v>
                </c:pt>
                <c:pt idx="85">
                  <c:v>0.109870774199239</c:v>
                </c:pt>
                <c:pt idx="86">
                  <c:v>0.107786701582541</c:v>
                </c:pt>
                <c:pt idx="87">
                  <c:v>0.105969095769137</c:v>
                </c:pt>
                <c:pt idx="88">
                  <c:v>0.104583563863945</c:v>
                </c:pt>
                <c:pt idx="89">
                  <c:v>0.102971987631279</c:v>
                </c:pt>
                <c:pt idx="90">
                  <c:v>0.101028810423076</c:v>
                </c:pt>
                <c:pt idx="91">
                  <c:v>9.9234021056223198E-2</c:v>
                </c:pt>
                <c:pt idx="92">
                  <c:v>9.7334624355376806E-2</c:v>
                </c:pt>
                <c:pt idx="93">
                  <c:v>9.4992625092376298E-2</c:v>
                </c:pt>
                <c:pt idx="94">
                  <c:v>9.2055316396620304E-2</c:v>
                </c:pt>
                <c:pt idx="95">
                  <c:v>9.0348280483690299E-2</c:v>
                </c:pt>
                <c:pt idx="96">
                  <c:v>8.8877890008727006E-2</c:v>
                </c:pt>
                <c:pt idx="97">
                  <c:v>8.6823326691359295E-2</c:v>
                </c:pt>
                <c:pt idx="98">
                  <c:v>8.4974142520133203E-2</c:v>
                </c:pt>
                <c:pt idx="99">
                  <c:v>8.4414110652183405E-2</c:v>
                </c:pt>
                <c:pt idx="100">
                  <c:v>8.3101651095296797E-2</c:v>
                </c:pt>
                <c:pt idx="101">
                  <c:v>8.1682222949078398E-2</c:v>
                </c:pt>
                <c:pt idx="102">
                  <c:v>8.1100607189023594E-2</c:v>
                </c:pt>
                <c:pt idx="103">
                  <c:v>8.0793644851596402E-2</c:v>
                </c:pt>
                <c:pt idx="104">
                  <c:v>7.94920221870348E-2</c:v>
                </c:pt>
                <c:pt idx="105">
                  <c:v>7.7422686671650101E-2</c:v>
                </c:pt>
                <c:pt idx="106">
                  <c:v>7.5300169569105804E-2</c:v>
                </c:pt>
                <c:pt idx="107">
                  <c:v>7.3179929552668194E-2</c:v>
                </c:pt>
                <c:pt idx="108">
                  <c:v>7.1052744726793002E-2</c:v>
                </c:pt>
                <c:pt idx="109">
                  <c:v>6.8898681430203501E-2</c:v>
                </c:pt>
                <c:pt idx="110">
                  <c:v>6.6704301636804894E-2</c:v>
                </c:pt>
                <c:pt idx="111">
                  <c:v>6.4462245595122994E-2</c:v>
                </c:pt>
                <c:pt idx="112">
                  <c:v>6.2168789067593599E-2</c:v>
                </c:pt>
                <c:pt idx="113">
                  <c:v>5.9822274980855898E-2</c:v>
                </c:pt>
                <c:pt idx="114">
                  <c:v>5.7422294809019503E-2</c:v>
                </c:pt>
                <c:pt idx="115">
                  <c:v>5.4969392391378102E-2</c:v>
                </c:pt>
                <c:pt idx="116">
                  <c:v>5.24650787852401E-2</c:v>
                </c:pt>
                <c:pt idx="117">
                  <c:v>4.9910996053650999E-2</c:v>
                </c:pt>
                <c:pt idx="118">
                  <c:v>4.7308698111966099E-2</c:v>
                </c:pt>
                <c:pt idx="119">
                  <c:v>4.4659620923250501E-2</c:v>
                </c:pt>
                <c:pt idx="120">
                  <c:v>4.1964997920882298E-2</c:v>
                </c:pt>
                <c:pt idx="121">
                  <c:v>3.9225853945286E-2</c:v>
                </c:pt>
                <c:pt idx="122">
                  <c:v>3.6443120373715901E-2</c:v>
                </c:pt>
                <c:pt idx="123">
                  <c:v>3.3617646660235603E-2</c:v>
                </c:pt>
                <c:pt idx="124">
                  <c:v>3.0750209585078701E-2</c:v>
                </c:pt>
                <c:pt idx="125">
                  <c:v>2.7841553932993399E-2</c:v>
                </c:pt>
                <c:pt idx="126">
                  <c:v>2.4892377346398001E-2</c:v>
                </c:pt>
                <c:pt idx="127">
                  <c:v>2.1903314721719899E-2</c:v>
                </c:pt>
                <c:pt idx="128">
                  <c:v>1.8874941971155398E-2</c:v>
                </c:pt>
                <c:pt idx="129">
                  <c:v>1.5807728147489802E-2</c:v>
                </c:pt>
                <c:pt idx="130">
                  <c:v>1.2701971380846999E-2</c:v>
                </c:pt>
                <c:pt idx="131">
                  <c:v>9.5579041113698603E-3</c:v>
                </c:pt>
                <c:pt idx="132">
                  <c:v>6.3757173100209797E-3</c:v>
                </c:pt>
                <c:pt idx="133">
                  <c:v>3.1555675671509102E-3</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numCache>
            </c:numRef>
          </c:val>
          <c:smooth val="0"/>
          <c:extLst>
            <c:ext xmlns:c16="http://schemas.microsoft.com/office/drawing/2014/chart" uri="{C3380CC4-5D6E-409C-BE32-E72D297353CC}">
              <c16:uniqueId val="{00000002-6F0E-44F5-907C-81062CC72495}"/>
            </c:ext>
          </c:extLst>
        </c:ser>
        <c:dLbls>
          <c:showLegendKey val="0"/>
          <c:showVal val="0"/>
          <c:showCatName val="0"/>
          <c:showSerName val="0"/>
          <c:showPercent val="0"/>
          <c:showBubbleSize val="0"/>
        </c:dLbls>
        <c:smooth val="0"/>
        <c:axId val="337499456"/>
        <c:axId val="337494864"/>
      </c:lineChart>
      <c:catAx>
        <c:axId val="337499456"/>
        <c:scaling>
          <c:orientation val="minMax"/>
        </c:scaling>
        <c:delete val="0"/>
        <c:axPos val="b"/>
        <c:title>
          <c:tx>
            <c:rich>
              <a:bodyPr/>
              <a:lstStyle/>
              <a:p>
                <a:pPr>
                  <a:defRPr/>
                </a:pPr>
                <a:r>
                  <a:rPr lang="en-US"/>
                  <a:t>Occupancy Level</a:t>
                </a:r>
              </a:p>
            </c:rich>
          </c:tx>
          <c:overlay val="0"/>
        </c:title>
        <c:numFmt formatCode="General" sourceLinked="1"/>
        <c:majorTickMark val="out"/>
        <c:minorTickMark val="none"/>
        <c:tickLblPos val="nextTo"/>
        <c:txPr>
          <a:bodyPr rot="-2700000" vert="horz"/>
          <a:lstStyle/>
          <a:p>
            <a:pPr>
              <a:defRPr/>
            </a:pPr>
            <a:endParaRPr lang="en-US"/>
          </a:p>
        </c:txPr>
        <c:crossAx val="337494864"/>
        <c:crosses val="autoZero"/>
        <c:auto val="1"/>
        <c:lblAlgn val="ctr"/>
        <c:lblOffset val="100"/>
        <c:tickLblSkip val="1"/>
        <c:noMultiLvlLbl val="0"/>
      </c:catAx>
      <c:valAx>
        <c:axId val="337494864"/>
        <c:scaling>
          <c:orientation val="minMax"/>
          <c:max val="1"/>
        </c:scaling>
        <c:delete val="0"/>
        <c:axPos val="l"/>
        <c:majorGridlines/>
        <c:title>
          <c:tx>
            <c:rich>
              <a:bodyPr/>
              <a:lstStyle/>
              <a:p>
                <a:pPr>
                  <a:defRPr/>
                </a:pPr>
                <a:r>
                  <a:rPr lang="en-US"/>
                  <a:t>Percentage (%)</a:t>
                </a:r>
              </a:p>
            </c:rich>
          </c:tx>
          <c:overlay val="0"/>
        </c:title>
        <c:numFmt formatCode="General" sourceLinked="1"/>
        <c:majorTickMark val="out"/>
        <c:minorTickMark val="none"/>
        <c:tickLblPos val="nextTo"/>
        <c:crossAx val="337499456"/>
        <c:crosses val="autoZero"/>
        <c:crossBetween val="between"/>
      </c:valAx>
    </c:plotArea>
    <c:legend>
      <c:legendPos val="t"/>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v>Peak-Hour Delay (min)</c:v>
          </c:tx>
          <c:spPr>
            <a:ln>
              <a:solidFill>
                <a:srgbClr val="4E2A84"/>
              </a:solidFill>
              <a:prstDash val="solid"/>
            </a:ln>
          </c:spPr>
          <c:marker>
            <c:symbol val="none"/>
          </c:marker>
          <c:dPt>
            <c:idx val="26"/>
            <c:marker>
              <c:symbol val="diamond"/>
              <c:size val="14"/>
              <c:spPr>
                <a:solidFill>
                  <a:srgbClr val="FFFF00"/>
                </a:solidFill>
              </c:spPr>
            </c:marker>
            <c:bubble3D val="0"/>
            <c:extLst>
              <c:ext xmlns:c16="http://schemas.microsoft.com/office/drawing/2014/chart" uri="{C3380CC4-5D6E-409C-BE32-E72D297353CC}">
                <c16:uniqueId val="{00000001-66B4-47FE-A9EF-5C5ED88303CE}"/>
              </c:ext>
            </c:extLst>
          </c:dPt>
          <c:cat>
            <c:numRef>
              <c:f>SimulationFit!$A$2:$A$152</c:f>
              <c:numCache>
                <c:formatCode>General</c:formatCode>
                <c:ptCount val="151"/>
                <c:pt idx="10">
                  <c:v>0.99</c:v>
                </c:pt>
                <c:pt idx="20">
                  <c:v>0.98</c:v>
                </c:pt>
                <c:pt idx="30">
                  <c:v>0.97</c:v>
                </c:pt>
                <c:pt idx="40">
                  <c:v>0.96</c:v>
                </c:pt>
                <c:pt idx="50">
                  <c:v>0.95</c:v>
                </c:pt>
                <c:pt idx="60">
                  <c:v>0.94</c:v>
                </c:pt>
                <c:pt idx="70">
                  <c:v>0.93</c:v>
                </c:pt>
                <c:pt idx="80">
                  <c:v>0.92</c:v>
                </c:pt>
                <c:pt idx="90">
                  <c:v>0.91</c:v>
                </c:pt>
                <c:pt idx="100" formatCode="0.00">
                  <c:v>0.9</c:v>
                </c:pt>
                <c:pt idx="110">
                  <c:v>0.89</c:v>
                </c:pt>
                <c:pt idx="120">
                  <c:v>0.88</c:v>
                </c:pt>
                <c:pt idx="130">
                  <c:v>0.87</c:v>
                </c:pt>
                <c:pt idx="140">
                  <c:v>0.86</c:v>
                </c:pt>
                <c:pt idx="150">
                  <c:v>0.85</c:v>
                </c:pt>
              </c:numCache>
            </c:numRef>
          </c:cat>
          <c:val>
            <c:numRef>
              <c:f>SimulationFit!$H$2:$H$152</c:f>
              <c:numCache>
                <c:formatCode>General</c:formatCode>
                <c:ptCount val="151"/>
                <c:pt idx="0">
                  <c:v>443.659953637049</c:v>
                </c:pt>
                <c:pt idx="1">
                  <c:v>438.82722803463901</c:v>
                </c:pt>
                <c:pt idx="2">
                  <c:v>433.961438714542</c:v>
                </c:pt>
                <c:pt idx="3">
                  <c:v>429.06225628387</c:v>
                </c:pt>
                <c:pt idx="4">
                  <c:v>424.12935645331203</c:v>
                </c:pt>
                <c:pt idx="5">
                  <c:v>419.16242298348402</c:v>
                </c:pt>
                <c:pt idx="6">
                  <c:v>414.16115120735702</c:v>
                </c:pt>
                <c:pt idx="7">
                  <c:v>409.12525223036999</c:v>
                </c:pt>
                <c:pt idx="8">
                  <c:v>404.05445792702801</c:v>
                </c:pt>
                <c:pt idx="9">
                  <c:v>398.94852687288602</c:v>
                </c:pt>
                <c:pt idx="10">
                  <c:v>393.80725137372701</c:v>
                </c:pt>
                <c:pt idx="11">
                  <c:v>388.63046577976399</c:v>
                </c:pt>
                <c:pt idx="12">
                  <c:v>383.41805630191499</c:v>
                </c:pt>
                <c:pt idx="13">
                  <c:v>378.16997257929501</c:v>
                </c:pt>
                <c:pt idx="14">
                  <c:v>372.88624128149502</c:v>
                </c:pt>
                <c:pt idx="15">
                  <c:v>367.56698203099802</c:v>
                </c:pt>
                <c:pt idx="16">
                  <c:v>362.21230954113099</c:v>
                </c:pt>
                <c:pt idx="17">
                  <c:v>356.82215487142798</c:v>
                </c:pt>
                <c:pt idx="18">
                  <c:v>351.39668864748802</c:v>
                </c:pt>
                <c:pt idx="19">
                  <c:v>345.93643705610702</c:v>
                </c:pt>
                <c:pt idx="20">
                  <c:v>340.44230978210902</c:v>
                </c:pt>
                <c:pt idx="21">
                  <c:v>334.91563499910501</c:v>
                </c:pt>
                <c:pt idx="22">
                  <c:v>329.358662199707</c:v>
                </c:pt>
                <c:pt idx="23">
                  <c:v>323.77492273840699</c:v>
                </c:pt>
                <c:pt idx="24">
                  <c:v>318.16854423827499</c:v>
                </c:pt>
                <c:pt idx="25">
                  <c:v>312.54419090742499</c:v>
                </c:pt>
                <c:pt idx="26">
                  <c:v>306.90707504163402</c:v>
                </c:pt>
                <c:pt idx="27">
                  <c:v>301.26296811544501</c:v>
                </c:pt>
                <c:pt idx="28">
                  <c:v>295.61826707669502</c:v>
                </c:pt>
                <c:pt idx="29">
                  <c:v>289.97994353956301</c:v>
                </c:pt>
                <c:pt idx="30">
                  <c:v>284.35541922039801</c:v>
                </c:pt>
                <c:pt idx="31">
                  <c:v>278.752442640825</c:v>
                </c:pt>
                <c:pt idx="32">
                  <c:v>273.178875531789</c:v>
                </c:pt>
                <c:pt idx="33">
                  <c:v>267.64092042172899</c:v>
                </c:pt>
                <c:pt idx="34">
                  <c:v>262.13705539617399</c:v>
                </c:pt>
                <c:pt idx="35">
                  <c:v>256.65917835772501</c:v>
                </c:pt>
                <c:pt idx="36">
                  <c:v>251.19120277118401</c:v>
                </c:pt>
                <c:pt idx="37">
                  <c:v>245.70433698950799</c:v>
                </c:pt>
                <c:pt idx="38">
                  <c:v>240.148688668364</c:v>
                </c:pt>
                <c:pt idx="39">
                  <c:v>234.44168871835001</c:v>
                </c:pt>
                <c:pt idx="40">
                  <c:v>228.455434213346</c:v>
                </c:pt>
                <c:pt idx="41">
                  <c:v>222.04900382391401</c:v>
                </c:pt>
                <c:pt idx="42">
                  <c:v>215.256183063751</c:v>
                </c:pt>
                <c:pt idx="43">
                  <c:v>208.74053800900501</c:v>
                </c:pt>
                <c:pt idx="44">
                  <c:v>202.74908486817199</c:v>
                </c:pt>
                <c:pt idx="45">
                  <c:v>197.07019687704701</c:v>
                </c:pt>
                <c:pt idx="46">
                  <c:v>190.43596060419199</c:v>
                </c:pt>
                <c:pt idx="47">
                  <c:v>184.04327394078101</c:v>
                </c:pt>
                <c:pt idx="48">
                  <c:v>178.81283332863899</c:v>
                </c:pt>
                <c:pt idx="49">
                  <c:v>175.384534635558</c:v>
                </c:pt>
                <c:pt idx="50">
                  <c:v>172.80332491842401</c:v>
                </c:pt>
                <c:pt idx="51">
                  <c:v>169.33956184785899</c:v>
                </c:pt>
                <c:pt idx="52">
                  <c:v>166.22003588726099</c:v>
                </c:pt>
                <c:pt idx="53">
                  <c:v>164.150617134421</c:v>
                </c:pt>
                <c:pt idx="54">
                  <c:v>162.35015062808799</c:v>
                </c:pt>
                <c:pt idx="55">
                  <c:v>159.72930104702701</c:v>
                </c:pt>
                <c:pt idx="56">
                  <c:v>157.03164589394299</c:v>
                </c:pt>
                <c:pt idx="57">
                  <c:v>155.416960868231</c:v>
                </c:pt>
                <c:pt idx="58">
                  <c:v>153.213205911236</c:v>
                </c:pt>
                <c:pt idx="59">
                  <c:v>149.50485946633</c:v>
                </c:pt>
                <c:pt idx="60">
                  <c:v>145.13512691514501</c:v>
                </c:pt>
                <c:pt idx="61">
                  <c:v>140.97033282829301</c:v>
                </c:pt>
                <c:pt idx="62">
                  <c:v>137.25638430514101</c:v>
                </c:pt>
                <c:pt idx="63">
                  <c:v>133.25612923287699</c:v>
                </c:pt>
                <c:pt idx="64">
                  <c:v>129.15733886222199</c:v>
                </c:pt>
                <c:pt idx="65">
                  <c:v>125.551793486842</c:v>
                </c:pt>
                <c:pt idx="66">
                  <c:v>122.310613715918</c:v>
                </c:pt>
                <c:pt idx="67">
                  <c:v>118.784142321179</c:v>
                </c:pt>
                <c:pt idx="68">
                  <c:v>115.558547304507</c:v>
                </c:pt>
                <c:pt idx="69">
                  <c:v>113.01655569378499</c:v>
                </c:pt>
                <c:pt idx="70">
                  <c:v>110.231215929101</c:v>
                </c:pt>
                <c:pt idx="71">
                  <c:v>107.235552878001</c:v>
                </c:pt>
                <c:pt idx="72">
                  <c:v>104.582573801945</c:v>
                </c:pt>
                <c:pt idx="73">
                  <c:v>101.990337120383</c:v>
                </c:pt>
                <c:pt idx="74">
                  <c:v>98.786232135489698</c:v>
                </c:pt>
                <c:pt idx="75">
                  <c:v>95.335250823955107</c:v>
                </c:pt>
                <c:pt idx="76">
                  <c:v>91.800292887506203</c:v>
                </c:pt>
                <c:pt idx="77">
                  <c:v>88.235569228373606</c:v>
                </c:pt>
                <c:pt idx="78">
                  <c:v>84.3633360797796</c:v>
                </c:pt>
                <c:pt idx="79">
                  <c:v>80.539873198517995</c:v>
                </c:pt>
                <c:pt idx="80">
                  <c:v>77.588831987212401</c:v>
                </c:pt>
                <c:pt idx="81">
                  <c:v>75.217355092659901</c:v>
                </c:pt>
                <c:pt idx="82">
                  <c:v>72.793294772517996</c:v>
                </c:pt>
                <c:pt idx="83">
                  <c:v>70.325904926479794</c:v>
                </c:pt>
                <c:pt idx="84">
                  <c:v>68.788392600627205</c:v>
                </c:pt>
                <c:pt idx="85">
                  <c:v>67.605990352276393</c:v>
                </c:pt>
                <c:pt idx="86">
                  <c:v>66.582568027226401</c:v>
                </c:pt>
                <c:pt idx="87">
                  <c:v>65.759782696173303</c:v>
                </c:pt>
                <c:pt idx="88">
                  <c:v>65.330014297626406</c:v>
                </c:pt>
                <c:pt idx="89">
                  <c:v>64.655266689015406</c:v>
                </c:pt>
                <c:pt idx="90">
                  <c:v>63.556502568183703</c:v>
                </c:pt>
                <c:pt idx="91">
                  <c:v>62.342840599274503</c:v>
                </c:pt>
                <c:pt idx="92">
                  <c:v>61.0746907216704</c:v>
                </c:pt>
                <c:pt idx="93">
                  <c:v>59.584353719038901</c:v>
                </c:pt>
                <c:pt idx="94">
                  <c:v>57.534846727978703</c:v>
                </c:pt>
                <c:pt idx="95">
                  <c:v>56.110766127666601</c:v>
                </c:pt>
                <c:pt idx="96">
                  <c:v>54.8344439084849</c:v>
                </c:pt>
                <c:pt idx="97">
                  <c:v>53.2273880960011</c:v>
                </c:pt>
                <c:pt idx="98">
                  <c:v>51.764222668694003</c:v>
                </c:pt>
                <c:pt idx="99">
                  <c:v>51.254384242793897</c:v>
                </c:pt>
                <c:pt idx="100">
                  <c:v>50.228624097587598</c:v>
                </c:pt>
                <c:pt idx="101">
                  <c:v>49.2108369162532</c:v>
                </c:pt>
                <c:pt idx="102">
                  <c:v>48.7743525503275</c:v>
                </c:pt>
                <c:pt idx="103">
                  <c:v>48.500252584454003</c:v>
                </c:pt>
                <c:pt idx="104">
                  <c:v>47.569748217296997</c:v>
                </c:pt>
                <c:pt idx="105">
                  <c:v>46.229930788795301</c:v>
                </c:pt>
                <c:pt idx="106">
                  <c:v>44.8628555344823</c:v>
                </c:pt>
                <c:pt idx="107">
                  <c:v>43.492267651136899</c:v>
                </c:pt>
                <c:pt idx="108">
                  <c:v>42.112418554438399</c:v>
                </c:pt>
                <c:pt idx="109">
                  <c:v>40.713764834172103</c:v>
                </c:pt>
                <c:pt idx="110">
                  <c:v>39.290918158213003</c:v>
                </c:pt>
                <c:pt idx="111">
                  <c:v>37.842818012737801</c:v>
                </c:pt>
                <c:pt idx="112">
                  <c:v>36.370289922876097</c:v>
                </c:pt>
                <c:pt idx="113">
                  <c:v>34.874603238008397</c:v>
                </c:pt>
                <c:pt idx="114">
                  <c:v>33.357135416100498</c:v>
                </c:pt>
                <c:pt idx="115">
                  <c:v>31.819149739109701</c:v>
                </c:pt>
                <c:pt idx="116">
                  <c:v>30.2616055118479</c:v>
                </c:pt>
                <c:pt idx="117">
                  <c:v>28.685313280075</c:v>
                </c:pt>
                <c:pt idx="118">
                  <c:v>27.090968037976602</c:v>
                </c:pt>
                <c:pt idx="119">
                  <c:v>25.479144554265801</c:v>
                </c:pt>
                <c:pt idx="120">
                  <c:v>23.850246565053801</c:v>
                </c:pt>
                <c:pt idx="121">
                  <c:v>22.204512646723401</c:v>
                </c:pt>
                <c:pt idx="122">
                  <c:v>20.5421107978637</c:v>
                </c:pt>
                <c:pt idx="123">
                  <c:v>18.863152985920902</c:v>
                </c:pt>
                <c:pt idx="124">
                  <c:v>17.167710822879801</c:v>
                </c:pt>
                <c:pt idx="125">
                  <c:v>15.455879773273701</c:v>
                </c:pt>
                <c:pt idx="126">
                  <c:v>13.7277537269132</c:v>
                </c:pt>
                <c:pt idx="127">
                  <c:v>11.983398440778</c:v>
                </c:pt>
                <c:pt idx="128">
                  <c:v>10.222855603695001</c:v>
                </c:pt>
                <c:pt idx="129">
                  <c:v>8.4461256431326994</c:v>
                </c:pt>
                <c:pt idx="130">
                  <c:v>6.6531452072585502</c:v>
                </c:pt>
                <c:pt idx="131">
                  <c:v>4.8438331062698001</c:v>
                </c:pt>
                <c:pt idx="132">
                  <c:v>3.01810079703893</c:v>
                </c:pt>
                <c:pt idx="133">
                  <c:v>1.17585538879061</c:v>
                </c:pt>
                <c:pt idx="134">
                  <c:v>0</c:v>
                </c:pt>
                <c:pt idx="135">
                  <c:v>0</c:v>
                </c:pt>
                <c:pt idx="136">
                  <c:v>0</c:v>
                </c:pt>
                <c:pt idx="137">
                  <c:v>0</c:v>
                </c:pt>
                <c:pt idx="138">
                  <c:v>0</c:v>
                </c:pt>
                <c:pt idx="139">
                  <c:v>0</c:v>
                </c:pt>
                <c:pt idx="140">
                  <c:v>0</c:v>
                </c:pt>
                <c:pt idx="141">
                  <c:v>0</c:v>
                </c:pt>
                <c:pt idx="142">
                  <c:v>0</c:v>
                </c:pt>
                <c:pt idx="143">
                  <c:v>0</c:v>
                </c:pt>
                <c:pt idx="144">
                  <c:v>0</c:v>
                </c:pt>
                <c:pt idx="145">
                  <c:v>0</c:v>
                </c:pt>
                <c:pt idx="146">
                  <c:v>0</c:v>
                </c:pt>
                <c:pt idx="147">
                  <c:v>0</c:v>
                </c:pt>
                <c:pt idx="148">
                  <c:v>0</c:v>
                </c:pt>
                <c:pt idx="149">
                  <c:v>0</c:v>
                </c:pt>
                <c:pt idx="150">
                  <c:v>0</c:v>
                </c:pt>
              </c:numCache>
            </c:numRef>
          </c:val>
          <c:smooth val="0"/>
          <c:extLst>
            <c:ext xmlns:c16="http://schemas.microsoft.com/office/drawing/2014/chart" uri="{C3380CC4-5D6E-409C-BE32-E72D297353CC}">
              <c16:uniqueId val="{00000000-66B4-47FE-A9EF-5C5ED88303CE}"/>
            </c:ext>
          </c:extLst>
        </c:ser>
        <c:dLbls>
          <c:showLegendKey val="0"/>
          <c:showVal val="0"/>
          <c:showCatName val="0"/>
          <c:showSerName val="0"/>
          <c:showPercent val="0"/>
          <c:showBubbleSize val="0"/>
        </c:dLbls>
        <c:smooth val="0"/>
        <c:axId val="337500440"/>
        <c:axId val="337500768"/>
      </c:lineChart>
      <c:catAx>
        <c:axId val="337500440"/>
        <c:scaling>
          <c:orientation val="minMax"/>
        </c:scaling>
        <c:delete val="0"/>
        <c:axPos val="b"/>
        <c:title>
          <c:tx>
            <c:rich>
              <a:bodyPr/>
              <a:lstStyle/>
              <a:p>
                <a:pPr>
                  <a:defRPr/>
                </a:pPr>
                <a:r>
                  <a:rPr lang="en-US"/>
                  <a:t>Occupancy Level</a:t>
                </a:r>
              </a:p>
            </c:rich>
          </c:tx>
          <c:overlay val="0"/>
        </c:title>
        <c:numFmt formatCode="General" sourceLinked="1"/>
        <c:majorTickMark val="out"/>
        <c:minorTickMark val="none"/>
        <c:tickLblPos val="nextTo"/>
        <c:txPr>
          <a:bodyPr rot="-2700000" vert="horz"/>
          <a:lstStyle/>
          <a:p>
            <a:pPr>
              <a:defRPr/>
            </a:pPr>
            <a:endParaRPr lang="en-US"/>
          </a:p>
        </c:txPr>
        <c:crossAx val="337500768"/>
        <c:crosses val="autoZero"/>
        <c:auto val="1"/>
        <c:lblAlgn val="ctr"/>
        <c:lblOffset val="100"/>
        <c:tickLblSkip val="1"/>
        <c:noMultiLvlLbl val="0"/>
      </c:catAx>
      <c:valAx>
        <c:axId val="337500768"/>
        <c:scaling>
          <c:orientation val="minMax"/>
        </c:scaling>
        <c:delete val="0"/>
        <c:axPos val="l"/>
        <c:majorGridlines/>
        <c:title>
          <c:tx>
            <c:rich>
              <a:bodyPr/>
              <a:lstStyle/>
              <a:p>
                <a:pPr>
                  <a:defRPr/>
                </a:pPr>
                <a:r>
                  <a:rPr lang="en-US"/>
                  <a:t>Percentage (%)</a:t>
                </a:r>
              </a:p>
            </c:rich>
          </c:tx>
          <c:overlay val="0"/>
        </c:title>
        <c:numFmt formatCode="General" sourceLinked="1"/>
        <c:majorTickMark val="out"/>
        <c:minorTickMark val="none"/>
        <c:tickLblPos val="nextTo"/>
        <c:crossAx val="337500440"/>
        <c:crosses val="autoZero"/>
        <c:crossBetween val="between"/>
      </c:valAx>
    </c:plotArea>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5" Type="http://schemas.openxmlformats.org/officeDocument/2006/relationships/image" Target="../media/image5.emf"/><Relationship Id="rId4" Type="http://schemas.openxmlformats.org/officeDocument/2006/relationships/image" Target="../media/image4.emf"/></Relationships>
</file>

<file path=xl/drawings/drawing1.xml><?xml version="1.0" encoding="utf-8"?>
<xdr:wsDr xmlns:xdr="http://schemas.openxmlformats.org/drawingml/2006/spreadsheetDrawing" xmlns:a="http://schemas.openxmlformats.org/drawingml/2006/main">
  <xdr:twoCellAnchor>
    <xdr:from>
      <xdr:col>0</xdr:col>
      <xdr:colOff>9525</xdr:colOff>
      <xdr:row>0</xdr:row>
      <xdr:rowOff>9525</xdr:rowOff>
    </xdr:from>
    <xdr:to>
      <xdr:col>12</xdr:col>
      <xdr:colOff>47625</xdr:colOff>
      <xdr:row>42</xdr:row>
      <xdr:rowOff>114300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9525" y="9525"/>
          <a:ext cx="7353300" cy="8105775"/>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ctr"/>
          <a:r>
            <a:rPr lang="en-US" sz="1400" b="1" u="none">
              <a:latin typeface="Cambria" panose="02040503050406030204" pitchFamily="18" charset="0"/>
            </a:rPr>
            <a:t>INSTRUCTIONS </a:t>
          </a:r>
        </a:p>
        <a:p>
          <a:pPr algn="ctr"/>
          <a:endParaRPr lang="en-US" sz="1250" b="1" u="none">
            <a:latin typeface="Cambria" panose="02040503050406030204" pitchFamily="18" charset="0"/>
          </a:endParaRPr>
        </a:p>
        <a:p>
          <a:r>
            <a:rPr lang="en-US" sz="1300">
              <a:latin typeface="Cambria" panose="02040503050406030204" pitchFamily="18" charset="0"/>
            </a:rPr>
            <a:t>1. Enable all the content, mainly Macro, when the Excel file is open. The toolkit is coded using Visual Basic for Applications (VBA), a Microsoft’s event-driven programming language, and can be supported by both Microsoft Windows (recommended) and Mac OS systems. (Nevertheless, VBA has been found to be incompatible with certain versions of Mac OS systems.)</a:t>
          </a:r>
        </a:p>
        <a:p>
          <a:endParaRPr lang="en-US" sz="1300">
            <a:latin typeface="Cambria" panose="02040503050406030204" pitchFamily="18" charset="0"/>
          </a:endParaRPr>
        </a:p>
        <a:p>
          <a:r>
            <a:rPr lang="en-US" sz="1300" u="sng">
              <a:latin typeface="Cambria" panose="02040503050406030204" pitchFamily="18" charset="0"/>
            </a:rPr>
            <a:t>With </a:t>
          </a:r>
          <a:r>
            <a:rPr lang="en-US" sz="1300" i="1" u="sng">
              <a:latin typeface="Cambria" panose="02040503050406030204" pitchFamily="18" charset="0"/>
            </a:rPr>
            <a:t>Model</a:t>
          </a:r>
          <a:r>
            <a:rPr lang="en-US" sz="1300" u="sng">
              <a:latin typeface="Cambria" panose="02040503050406030204" pitchFamily="18" charset="0"/>
            </a:rPr>
            <a:t> sheet:</a:t>
          </a:r>
        </a:p>
        <a:p>
          <a:r>
            <a:rPr lang="en-US" sz="1300" u="none">
              <a:latin typeface="Cambria" panose="02040503050406030204" pitchFamily="18" charset="0"/>
            </a:rPr>
            <a:t>2. In the Model tab, enter all the input parameters by either selecting from the dropdown menus or typing in the numbers. </a:t>
          </a:r>
        </a:p>
        <a:p>
          <a:endParaRPr lang="en-US" sz="1300" u="none">
            <a:latin typeface="Cambria" panose="02040503050406030204" pitchFamily="18" charset="0"/>
          </a:endParaRPr>
        </a:p>
        <a:p>
          <a:r>
            <a:rPr lang="en-US" sz="1300" u="none">
              <a:latin typeface="Cambria" panose="02040503050406030204" pitchFamily="18" charset="0"/>
            </a:rPr>
            <a:t>3. For any experiment, the discharge densities entered in cells C8 – C31 must sum up to 1. In addition, no positive discharge density is allowed before 10 am, because the model assumes that patients start leaving wards as early as 10am after/during the morning inspection round. Violation of either point will result in an error message. </a:t>
          </a:r>
        </a:p>
        <a:p>
          <a:endParaRPr lang="en-US" sz="1300" u="none">
            <a:latin typeface="Cambria" panose="02040503050406030204" pitchFamily="18" charset="0"/>
          </a:endParaRPr>
        </a:p>
        <a:p>
          <a:r>
            <a:rPr lang="en-US" sz="1300" u="none">
              <a:latin typeface="Cambria" panose="02040503050406030204" pitchFamily="18" charset="0"/>
            </a:rPr>
            <a:t>4. For any experiment, if the bed request rate is so high that the tested number of beds cannot meet all demand, the toolkit will output the message “System is not stable.”</a:t>
          </a:r>
        </a:p>
        <a:p>
          <a:endParaRPr lang="en-US" sz="1300" u="none">
            <a:latin typeface="Cambria" panose="02040503050406030204" pitchFamily="18" charset="0"/>
          </a:endParaRPr>
        </a:p>
        <a:p>
          <a:r>
            <a:rPr lang="en-US" sz="1300" u="none">
              <a:latin typeface="Cambria" panose="02040503050406030204" pitchFamily="18" charset="0"/>
            </a:rPr>
            <a:t>5. Run the model by clicking the Run Model Button and view performance measures.</a:t>
          </a:r>
        </a:p>
        <a:p>
          <a:endParaRPr lang="en-US" sz="1300" u="none">
            <a:latin typeface="Cambria" panose="02040503050406030204" pitchFamily="18" charset="0"/>
          </a:endParaRPr>
        </a:p>
        <a:p>
          <a:r>
            <a:rPr lang="en-US" sz="1300" u="none">
              <a:latin typeface="Cambria" panose="02040503050406030204" pitchFamily="18" charset="0"/>
            </a:rPr>
            <a:t>6. Click the Reset Button to clear all the experiments and recover the default input parameters derived from the hospital census data. </a:t>
          </a:r>
          <a:endParaRPr lang="en-US" sz="1300">
            <a:latin typeface="Cambria" panose="02040503050406030204" pitchFamily="18" charset="0"/>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1365250</xdr:colOff>
          <xdr:row>1</xdr:row>
          <xdr:rowOff>127000</xdr:rowOff>
        </xdr:from>
        <xdr:to>
          <xdr:col>7</xdr:col>
          <xdr:colOff>177800</xdr:colOff>
          <xdr:row>3</xdr:row>
          <xdr:rowOff>38100</xdr:rowOff>
        </xdr:to>
        <xdr:sp macro="" textlink="">
          <xdr:nvSpPr>
            <xdr:cNvPr id="1026" name="Reset_Param" hidden="1">
              <a:extLst>
                <a:ext uri="{63B3BB69-23CF-44E3-9099-C40C66FF867C}">
                  <a14:compatExt spid="_x0000_s1026"/>
                </a:ext>
                <a:ext uri="{FF2B5EF4-FFF2-40B4-BE49-F238E27FC236}">
                  <a16:creationId xmlns:a16="http://schemas.microsoft.com/office/drawing/2014/main" id="{00000000-0008-0000-0100-00000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762000</xdr:colOff>
          <xdr:row>1</xdr:row>
          <xdr:rowOff>127000</xdr:rowOff>
        </xdr:from>
        <xdr:to>
          <xdr:col>6</xdr:col>
          <xdr:colOff>19050</xdr:colOff>
          <xdr:row>3</xdr:row>
          <xdr:rowOff>38100</xdr:rowOff>
        </xdr:to>
        <xdr:sp macro="" textlink="">
          <xdr:nvSpPr>
            <xdr:cNvPr id="1029" name="Run_Model"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2</xdr:row>
          <xdr:rowOff>285750</xdr:rowOff>
        </xdr:from>
        <xdr:to>
          <xdr:col>2</xdr:col>
          <xdr:colOff>19050</xdr:colOff>
          <xdr:row>4</xdr:row>
          <xdr:rowOff>19050</xdr:rowOff>
        </xdr:to>
        <xdr:sp macro="" textlink="">
          <xdr:nvSpPr>
            <xdr:cNvPr id="1036" name="ComboBox1"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12700</xdr:colOff>
          <xdr:row>2</xdr:row>
          <xdr:rowOff>285750</xdr:rowOff>
        </xdr:from>
        <xdr:to>
          <xdr:col>3</xdr:col>
          <xdr:colOff>6350</xdr:colOff>
          <xdr:row>4</xdr:row>
          <xdr:rowOff>69850</xdr:rowOff>
        </xdr:to>
        <xdr:sp macro="" textlink="">
          <xdr:nvSpPr>
            <xdr:cNvPr id="1037" name="ComboBox2"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12700</xdr:colOff>
          <xdr:row>3</xdr:row>
          <xdr:rowOff>6350</xdr:rowOff>
        </xdr:from>
        <xdr:to>
          <xdr:col>4</xdr:col>
          <xdr:colOff>6350</xdr:colOff>
          <xdr:row>4</xdr:row>
          <xdr:rowOff>38100</xdr:rowOff>
        </xdr:to>
        <xdr:sp macro="" textlink="">
          <xdr:nvSpPr>
            <xdr:cNvPr id="1038" name="ComboBox3"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xdr:col>
      <xdr:colOff>0</xdr:colOff>
      <xdr:row>33</xdr:row>
      <xdr:rowOff>0</xdr:rowOff>
    </xdr:from>
    <xdr:to>
      <xdr:col>3</xdr:col>
      <xdr:colOff>958850</xdr:colOff>
      <xdr:row>50</xdr:row>
      <xdr:rowOff>6350</xdr:rowOff>
    </xdr:to>
    <xdr:graphicFrame macro="">
      <xdr:nvGraphicFramePr>
        <xdr:cNvPr id="2" name="Chart 1">
          <a:extLst>
            <a:ext uri="{FF2B5EF4-FFF2-40B4-BE49-F238E27FC236}">
              <a16:creationId xmlns:a16="http://schemas.microsoft.com/office/drawing/2014/main" id="{A5376C14-521B-4EDF-9B46-BF56685101E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0</xdr:colOff>
      <xdr:row>51</xdr:row>
      <xdr:rowOff>0</xdr:rowOff>
    </xdr:from>
    <xdr:to>
      <xdr:col>3</xdr:col>
      <xdr:colOff>958850</xdr:colOff>
      <xdr:row>68</xdr:row>
      <xdr:rowOff>6350</xdr:rowOff>
    </xdr:to>
    <xdr:graphicFrame macro="">
      <xdr:nvGraphicFramePr>
        <xdr:cNvPr id="3" name="Chart 2">
          <a:extLst>
            <a:ext uri="{FF2B5EF4-FFF2-40B4-BE49-F238E27FC236}">
              <a16:creationId xmlns:a16="http://schemas.microsoft.com/office/drawing/2014/main" id="{C7E273BF-BFF2-419C-B0C0-F3AC25C353A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xdr:col>
      <xdr:colOff>0</xdr:colOff>
      <xdr:row>21</xdr:row>
      <xdr:rowOff>38100</xdr:rowOff>
    </xdr:from>
    <xdr:to>
      <xdr:col>6</xdr:col>
      <xdr:colOff>1581150</xdr:colOff>
      <xdr:row>38</xdr:row>
      <xdr:rowOff>44450</xdr:rowOff>
    </xdr:to>
    <xdr:graphicFrame macro="">
      <xdr:nvGraphicFramePr>
        <xdr:cNvPr id="4" name="Chart 3">
          <a:extLst>
            <a:ext uri="{FF2B5EF4-FFF2-40B4-BE49-F238E27FC236}">
              <a16:creationId xmlns:a16="http://schemas.microsoft.com/office/drawing/2014/main" id="{74C3F688-4A8E-4654-B9BB-703778EE15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1708150</xdr:colOff>
      <xdr:row>21</xdr:row>
      <xdr:rowOff>38100</xdr:rowOff>
    </xdr:from>
    <xdr:to>
      <xdr:col>7</xdr:col>
      <xdr:colOff>2844800</xdr:colOff>
      <xdr:row>38</xdr:row>
      <xdr:rowOff>44450</xdr:rowOff>
    </xdr:to>
    <xdr:graphicFrame macro="">
      <xdr:nvGraphicFramePr>
        <xdr:cNvPr id="5" name="Chart 4">
          <a:extLst>
            <a:ext uri="{FF2B5EF4-FFF2-40B4-BE49-F238E27FC236}">
              <a16:creationId xmlns:a16="http://schemas.microsoft.com/office/drawing/2014/main" id="{BE02420B-7A51-4E30-B014-1E3443A65D6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6</xdr:col>
      <xdr:colOff>1708150</xdr:colOff>
      <xdr:row>38</xdr:row>
      <xdr:rowOff>120650</xdr:rowOff>
    </xdr:from>
    <xdr:to>
      <xdr:col>7</xdr:col>
      <xdr:colOff>2844800</xdr:colOff>
      <xdr:row>55</xdr:row>
      <xdr:rowOff>127000</xdr:rowOff>
    </xdr:to>
    <xdr:graphicFrame macro="">
      <xdr:nvGraphicFramePr>
        <xdr:cNvPr id="6" name="Chart 5">
          <a:extLst>
            <a:ext uri="{FF2B5EF4-FFF2-40B4-BE49-F238E27FC236}">
              <a16:creationId xmlns:a16="http://schemas.microsoft.com/office/drawing/2014/main" id="{55FC522D-C706-4FEE-AF45-13B23CB58B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5</xdr:col>
      <xdr:colOff>0</xdr:colOff>
      <xdr:row>38</xdr:row>
      <xdr:rowOff>120650</xdr:rowOff>
    </xdr:from>
    <xdr:to>
      <xdr:col>6</xdr:col>
      <xdr:colOff>1581150</xdr:colOff>
      <xdr:row>55</xdr:row>
      <xdr:rowOff>127000</xdr:rowOff>
    </xdr:to>
    <xdr:graphicFrame macro="">
      <xdr:nvGraphicFramePr>
        <xdr:cNvPr id="7" name="Chart 6">
          <a:extLst>
            <a:ext uri="{FF2B5EF4-FFF2-40B4-BE49-F238E27FC236}">
              <a16:creationId xmlns:a16="http://schemas.microsoft.com/office/drawing/2014/main" id="{756972B5-E992-45ED-B6AD-5B725FD3FEC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ontrol" Target="../activeX/activeX5.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
  <sheetViews>
    <sheetView showGridLines="0" workbookViewId="0">
      <selection activeCell="B145" sqref="B145"/>
    </sheetView>
  </sheetViews>
  <sheetFormatPr defaultRowHeight="14.5" x14ac:dyDescent="0.35"/>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V40"/>
  <sheetViews>
    <sheetView showGridLines="0" tabSelected="1" zoomScaleNormal="100" workbookViewId="0">
      <selection sqref="A1:D2"/>
    </sheetView>
  </sheetViews>
  <sheetFormatPr defaultColWidth="9.1796875" defaultRowHeight="15.5" x14ac:dyDescent="0.35"/>
  <cols>
    <col min="1" max="1" width="15" style="21" customWidth="1"/>
    <col min="2" max="2" width="23" style="21" customWidth="1"/>
    <col min="3" max="3" width="28.7265625" style="21" customWidth="1"/>
    <col min="4" max="4" width="23" style="19" customWidth="1"/>
    <col min="5" max="5" width="7.1796875" style="14" customWidth="1"/>
    <col min="6" max="6" width="42.81640625" style="10" customWidth="1"/>
    <col min="7" max="7" width="49.1796875" style="5" customWidth="1"/>
    <col min="8" max="8" width="46.81640625" style="5" customWidth="1"/>
    <col min="9" max="9" width="10.1796875" style="5" customWidth="1"/>
    <col min="10" max="12" width="9.1796875" style="5"/>
    <col min="13" max="13" width="9.1796875" style="6"/>
    <col min="14" max="22" width="9.1796875" style="5"/>
    <col min="23" max="16384" width="9.1796875" style="2"/>
  </cols>
  <sheetData>
    <row r="1" spans="1:9" ht="11.25" customHeight="1" x14ac:dyDescent="0.35">
      <c r="A1" s="76" t="s">
        <v>5</v>
      </c>
      <c r="B1" s="76"/>
      <c r="C1" s="76"/>
      <c r="D1" s="77"/>
      <c r="F1" s="21"/>
      <c r="H1" s="22"/>
    </row>
    <row r="2" spans="1:9" ht="21" customHeight="1" x14ac:dyDescent="0.35">
      <c r="A2" s="78"/>
      <c r="B2" s="78"/>
      <c r="C2" s="78"/>
      <c r="D2" s="79"/>
      <c r="E2" s="56"/>
      <c r="H2" s="30"/>
    </row>
    <row r="3" spans="1:9" ht="23.25" customHeight="1" x14ac:dyDescent="0.35">
      <c r="A3" s="80" t="s">
        <v>4</v>
      </c>
      <c r="B3" s="81"/>
      <c r="C3" s="47" t="s">
        <v>7</v>
      </c>
      <c r="D3" s="46" t="s">
        <v>24</v>
      </c>
      <c r="E3" s="15"/>
      <c r="H3" s="31"/>
    </row>
    <row r="4" spans="1:9" ht="21.65" customHeight="1" x14ac:dyDescent="0.35"/>
    <row r="5" spans="1:9" x14ac:dyDescent="0.35">
      <c r="F5" s="21"/>
    </row>
    <row r="6" spans="1:9" ht="17.5" x14ac:dyDescent="0.35">
      <c r="A6" s="82" t="s">
        <v>0</v>
      </c>
      <c r="B6" s="82" t="s">
        <v>12</v>
      </c>
      <c r="C6" s="82" t="s">
        <v>1</v>
      </c>
      <c r="D6" s="83" t="s">
        <v>2</v>
      </c>
      <c r="E6" s="32"/>
      <c r="F6" s="13" t="s">
        <v>22</v>
      </c>
      <c r="G6" s="34" t="s">
        <v>11</v>
      </c>
      <c r="H6" s="34" t="s">
        <v>21</v>
      </c>
    </row>
    <row r="7" spans="1:9" ht="17.5" x14ac:dyDescent="0.35">
      <c r="A7" s="82"/>
      <c r="B7" s="82"/>
      <c r="C7" s="82"/>
      <c r="D7" s="83"/>
      <c r="E7" s="32"/>
      <c r="F7" s="12"/>
      <c r="G7" s="64"/>
      <c r="H7" s="35"/>
    </row>
    <row r="8" spans="1:9" ht="16.5" x14ac:dyDescent="0.3">
      <c r="A8" s="4">
        <v>0</v>
      </c>
      <c r="B8" s="3">
        <v>0.86922213458333342</v>
      </c>
      <c r="C8" s="51">
        <v>1.4670823399963299E-3</v>
      </c>
      <c r="D8" s="20">
        <v>172</v>
      </c>
      <c r="E8" s="16"/>
      <c r="F8" s="18" t="s">
        <v>23</v>
      </c>
      <c r="G8" s="36" t="s">
        <v>18</v>
      </c>
      <c r="H8" s="36" t="s">
        <v>8</v>
      </c>
    </row>
    <row r="9" spans="1:9" ht="16.5" x14ac:dyDescent="0.3">
      <c r="A9" s="4">
        <v>1</v>
      </c>
      <c r="B9" s="3">
        <v>0.7126955433333334</v>
      </c>
      <c r="C9" s="51">
        <v>1.1003117549972499E-3</v>
      </c>
      <c r="D9" s="20"/>
      <c r="E9" s="16"/>
      <c r="F9" s="26">
        <v>0.97361473037070567</v>
      </c>
      <c r="G9" s="65">
        <v>231.92448671080899</v>
      </c>
      <c r="H9" s="39">
        <v>0.52907445709051604</v>
      </c>
    </row>
    <row r="10" spans="1:9" ht="16.5" customHeight="1" x14ac:dyDescent="0.3">
      <c r="A10" s="4">
        <v>2</v>
      </c>
      <c r="B10" s="3">
        <v>0.71935624916666674</v>
      </c>
      <c r="C10" s="51">
        <v>6.4184852374839501E-4</v>
      </c>
      <c r="D10" s="83" t="s">
        <v>38</v>
      </c>
      <c r="E10" s="16"/>
      <c r="F10" s="17"/>
      <c r="G10" s="66"/>
      <c r="H10" s="37"/>
      <c r="I10" s="24"/>
    </row>
    <row r="11" spans="1:9" ht="16.5" x14ac:dyDescent="0.3">
      <c r="A11" s="4">
        <v>3</v>
      </c>
      <c r="B11" s="3">
        <v>0.70270448416666664</v>
      </c>
      <c r="C11" s="51">
        <v>5.5015587749862496E-4</v>
      </c>
      <c r="D11" s="83"/>
      <c r="E11" s="16"/>
      <c r="F11" s="12"/>
      <c r="G11" s="36" t="s">
        <v>40</v>
      </c>
      <c r="H11" s="38" t="s">
        <v>9</v>
      </c>
    </row>
    <row r="12" spans="1:9" ht="17.5" x14ac:dyDescent="0.3">
      <c r="A12" s="4">
        <v>4</v>
      </c>
      <c r="B12" s="3">
        <v>0.60279389416666673</v>
      </c>
      <c r="C12" s="51">
        <v>2.7507793874931199E-4</v>
      </c>
      <c r="D12" s="83"/>
      <c r="E12" s="16"/>
      <c r="F12" s="33"/>
      <c r="G12" s="61">
        <v>306.90707504163402</v>
      </c>
      <c r="H12" s="40">
        <v>0.46845132711631499</v>
      </c>
      <c r="I12" s="24"/>
    </row>
    <row r="13" spans="1:9" ht="16.5" x14ac:dyDescent="0.3">
      <c r="A13" s="4">
        <v>5</v>
      </c>
      <c r="B13" s="3">
        <v>0.66274024833333334</v>
      </c>
      <c r="C13" s="51">
        <v>6.4184852374839501E-4</v>
      </c>
      <c r="D13" s="41">
        <v>0</v>
      </c>
      <c r="E13" s="16"/>
      <c r="F13" s="53"/>
      <c r="G13" s="62"/>
      <c r="H13" s="37"/>
      <c r="I13" s="24"/>
    </row>
    <row r="14" spans="1:9" ht="16.5" x14ac:dyDescent="0.3">
      <c r="A14" s="4">
        <v>6</v>
      </c>
      <c r="B14" s="3">
        <v>0.50621365666666673</v>
      </c>
      <c r="C14" s="51">
        <v>6.4184852374839501E-4</v>
      </c>
      <c r="D14" s="20"/>
      <c r="E14" s="16"/>
      <c r="F14" s="18"/>
      <c r="G14" s="36" t="s">
        <v>19</v>
      </c>
      <c r="H14" s="38" t="s">
        <v>10</v>
      </c>
      <c r="I14" s="24"/>
    </row>
    <row r="15" spans="1:9" ht="16.5" x14ac:dyDescent="0.3">
      <c r="A15" s="4">
        <v>7</v>
      </c>
      <c r="B15" s="3">
        <v>0.86922213458333342</v>
      </c>
      <c r="C15" s="51">
        <v>1.74216027874564E-3</v>
      </c>
      <c r="D15" s="59" t="s">
        <v>42</v>
      </c>
      <c r="E15" s="16"/>
      <c r="F15" s="60"/>
      <c r="G15" s="61">
        <v>505.94984304015998</v>
      </c>
      <c r="H15" s="40">
        <v>0.40724775677313202</v>
      </c>
    </row>
    <row r="16" spans="1:9" ht="16.5" x14ac:dyDescent="0.3">
      <c r="A16" s="4">
        <v>8</v>
      </c>
      <c r="B16" s="3">
        <v>1.4020786154166667</v>
      </c>
      <c r="C16" s="51">
        <v>3.9427837887401401E-3</v>
      </c>
      <c r="D16" s="20">
        <v>3.99</v>
      </c>
      <c r="E16" s="16"/>
      <c r="F16" s="54"/>
      <c r="G16" s="63"/>
      <c r="H16" s="35"/>
      <c r="I16" s="24"/>
    </row>
    <row r="17" spans="1:9" ht="16.5" x14ac:dyDescent="0.3">
      <c r="A17" s="4">
        <v>9</v>
      </c>
      <c r="B17" s="3">
        <v>1.8383548591666665</v>
      </c>
      <c r="C17" s="51">
        <v>1.2378507243719101E-2</v>
      </c>
      <c r="D17" s="52"/>
      <c r="E17" s="16"/>
      <c r="F17" s="73" t="s">
        <v>20</v>
      </c>
      <c r="G17" s="74"/>
      <c r="H17" s="75"/>
      <c r="I17" s="24"/>
    </row>
    <row r="18" spans="1:9" ht="16.5" customHeight="1" x14ac:dyDescent="0.3">
      <c r="A18" s="4">
        <v>10</v>
      </c>
      <c r="B18" s="3">
        <v>2.0914616875000003</v>
      </c>
      <c r="C18" s="51">
        <v>2.7966257106180101E-2</v>
      </c>
      <c r="D18" s="52"/>
      <c r="E18" s="16"/>
      <c r="F18" s="67" t="s">
        <v>25</v>
      </c>
      <c r="G18" s="68"/>
      <c r="H18" s="69"/>
    </row>
    <row r="19" spans="1:9" ht="16.5" customHeight="1" x14ac:dyDescent="0.3">
      <c r="A19" s="4">
        <v>11</v>
      </c>
      <c r="B19" s="3">
        <v>2.6143271095833334</v>
      </c>
      <c r="C19" s="51">
        <v>4.71300201723822E-2</v>
      </c>
      <c r="D19" s="52"/>
      <c r="E19" s="16"/>
      <c r="F19" s="70"/>
      <c r="G19" s="71"/>
      <c r="H19" s="72"/>
      <c r="I19" s="23"/>
    </row>
    <row r="20" spans="1:9" ht="15.75" customHeight="1" x14ac:dyDescent="0.3">
      <c r="A20" s="4">
        <v>12</v>
      </c>
      <c r="B20" s="3">
        <v>2.9140588800000002</v>
      </c>
      <c r="C20" s="51">
        <v>6.9778103796075602E-2</v>
      </c>
      <c r="D20" s="52"/>
      <c r="E20" s="16"/>
      <c r="F20" s="57"/>
      <c r="I20" s="25"/>
    </row>
    <row r="21" spans="1:9" x14ac:dyDescent="0.3">
      <c r="A21" s="4">
        <v>13</v>
      </c>
      <c r="B21" s="3">
        <v>3.2037995912500001</v>
      </c>
      <c r="C21" s="51">
        <v>0.120667522464698</v>
      </c>
      <c r="D21" s="52"/>
      <c r="E21" s="16"/>
      <c r="F21" s="58"/>
    </row>
    <row r="22" spans="1:9" x14ac:dyDescent="0.3">
      <c r="A22" s="4">
        <v>14</v>
      </c>
      <c r="B22" s="3">
        <v>3.2437638275</v>
      </c>
      <c r="C22" s="51">
        <v>0.14074821199339799</v>
      </c>
      <c r="D22" s="52"/>
      <c r="E22" s="16"/>
      <c r="F22" s="7"/>
    </row>
    <row r="23" spans="1:9" x14ac:dyDescent="0.3">
      <c r="A23" s="4">
        <v>15</v>
      </c>
      <c r="B23" s="3">
        <v>3.1738264145833335</v>
      </c>
      <c r="C23" s="51">
        <v>0.103154227030992</v>
      </c>
      <c r="D23" s="52"/>
      <c r="E23" s="16"/>
      <c r="F23" s="7"/>
    </row>
    <row r="24" spans="1:9" x14ac:dyDescent="0.3">
      <c r="A24" s="4">
        <v>16</v>
      </c>
      <c r="B24" s="3">
        <v>2.7342198175000001</v>
      </c>
      <c r="C24" s="51">
        <v>0.13451311204841401</v>
      </c>
      <c r="D24" s="52"/>
      <c r="E24" s="16"/>
      <c r="F24" s="7"/>
    </row>
    <row r="25" spans="1:9" x14ac:dyDescent="0.3">
      <c r="A25" s="4">
        <v>17</v>
      </c>
      <c r="B25" s="3">
        <v>2.3978541641666666</v>
      </c>
      <c r="C25" s="51">
        <v>0.12387676508344</v>
      </c>
      <c r="D25" s="52"/>
      <c r="E25" s="16"/>
    </row>
    <row r="26" spans="1:9" x14ac:dyDescent="0.3">
      <c r="A26" s="4">
        <v>18</v>
      </c>
      <c r="B26" s="3">
        <v>2.2280061608333335</v>
      </c>
      <c r="C26" s="51">
        <v>0.10746378140473101</v>
      </c>
      <c r="D26" s="52"/>
      <c r="E26" s="16"/>
    </row>
    <row r="27" spans="1:9" ht="15.75" customHeight="1" x14ac:dyDescent="0.3">
      <c r="A27" s="4">
        <v>19</v>
      </c>
      <c r="B27" s="3">
        <v>2.0614885104166665</v>
      </c>
      <c r="C27" s="51">
        <v>5.64826700898588E-2</v>
      </c>
      <c r="D27" s="52"/>
      <c r="E27" s="16"/>
    </row>
    <row r="28" spans="1:9" x14ac:dyDescent="0.3">
      <c r="A28" s="4">
        <v>20</v>
      </c>
      <c r="B28" s="3">
        <v>2.0348456866666669</v>
      </c>
      <c r="C28" s="51">
        <v>2.3656702732440901E-2</v>
      </c>
      <c r="D28" s="52"/>
      <c r="E28" s="16"/>
    </row>
    <row r="29" spans="1:9" x14ac:dyDescent="0.3">
      <c r="A29" s="4">
        <v>21</v>
      </c>
      <c r="B29" s="3">
        <v>1.6485247379166665</v>
      </c>
      <c r="C29" s="51">
        <v>1.09114249037227E-2</v>
      </c>
      <c r="D29" s="52"/>
      <c r="E29" s="16"/>
    </row>
    <row r="30" spans="1:9" x14ac:dyDescent="0.3">
      <c r="A30" s="4">
        <v>22</v>
      </c>
      <c r="B30" s="3">
        <v>1.3920875562499999</v>
      </c>
      <c r="C30" s="51">
        <v>6.1434072987346404E-3</v>
      </c>
      <c r="D30" s="52"/>
      <c r="E30" s="16"/>
    </row>
    <row r="31" spans="1:9" x14ac:dyDescent="0.3">
      <c r="A31" s="4">
        <v>23</v>
      </c>
      <c r="B31" s="3">
        <v>1.3188197904166665</v>
      </c>
      <c r="C31" s="51">
        <v>4.1261690812396798E-3</v>
      </c>
      <c r="D31" s="52"/>
      <c r="E31" s="16"/>
    </row>
    <row r="32" spans="1:9" x14ac:dyDescent="0.35">
      <c r="A32" s="28" t="s">
        <v>41</v>
      </c>
      <c r="B32" s="55">
        <f>SUM(B8:B31)</f>
        <v>41.942465754166669</v>
      </c>
      <c r="C32" s="55">
        <f>SUM(C8:C31)</f>
        <v>0.99999999999999911</v>
      </c>
      <c r="D32" s="52"/>
    </row>
    <row r="33" spans="2:15" x14ac:dyDescent="0.35">
      <c r="D33" s="52"/>
      <c r="J33" s="11"/>
      <c r="K33" s="11"/>
      <c r="L33" s="11"/>
      <c r="M33" s="11"/>
      <c r="N33" s="11"/>
      <c r="O33" s="11"/>
    </row>
    <row r="34" spans="2:15" x14ac:dyDescent="0.35">
      <c r="B34" s="8"/>
      <c r="C34" s="8"/>
      <c r="D34" s="52"/>
    </row>
    <row r="35" spans="2:15" x14ac:dyDescent="0.35">
      <c r="B35" s="8"/>
      <c r="C35" s="8"/>
      <c r="D35" s="52"/>
    </row>
    <row r="36" spans="2:15" x14ac:dyDescent="0.35">
      <c r="D36" s="52"/>
    </row>
    <row r="37" spans="2:15" x14ac:dyDescent="0.35">
      <c r="D37" s="52"/>
    </row>
    <row r="38" spans="2:15" x14ac:dyDescent="0.35">
      <c r="D38" s="52"/>
    </row>
    <row r="39" spans="2:15" x14ac:dyDescent="0.35">
      <c r="D39" s="52"/>
    </row>
    <row r="40" spans="2:15" x14ac:dyDescent="0.35">
      <c r="D40" s="52"/>
    </row>
  </sheetData>
  <mergeCells count="9">
    <mergeCell ref="F18:H19"/>
    <mergeCell ref="F17:H17"/>
    <mergeCell ref="A1:D2"/>
    <mergeCell ref="A3:B3"/>
    <mergeCell ref="A6:A7"/>
    <mergeCell ref="B6:B7"/>
    <mergeCell ref="C6:C7"/>
    <mergeCell ref="D6:D7"/>
    <mergeCell ref="D10:D12"/>
  </mergeCells>
  <pageMargins left="0.7" right="0.7" top="0.75" bottom="0.75" header="0.3" footer="0.3"/>
  <pageSetup orientation="portrait" r:id="rId1"/>
  <drawing r:id="rId2"/>
  <legacyDrawing r:id="rId3"/>
  <controls>
    <mc:AlternateContent xmlns:mc="http://schemas.openxmlformats.org/markup-compatibility/2006">
      <mc:Choice Requires="x14">
        <control shapeId="1026" r:id="rId4" name="Reset_Param">
          <controlPr defaultSize="0" autoLine="0" autoPict="0" r:id="rId5">
            <anchor moveWithCells="1">
              <from>
                <xdr:col>6</xdr:col>
                <xdr:colOff>1365250</xdr:colOff>
                <xdr:row>1</xdr:row>
                <xdr:rowOff>127000</xdr:rowOff>
              </from>
              <to>
                <xdr:col>7</xdr:col>
                <xdr:colOff>177800</xdr:colOff>
                <xdr:row>3</xdr:row>
                <xdr:rowOff>38100</xdr:rowOff>
              </to>
            </anchor>
          </controlPr>
        </control>
      </mc:Choice>
      <mc:Fallback>
        <control shapeId="1026" r:id="rId4" name="Reset_Param"/>
      </mc:Fallback>
    </mc:AlternateContent>
    <mc:AlternateContent xmlns:mc="http://schemas.openxmlformats.org/markup-compatibility/2006">
      <mc:Choice Requires="x14">
        <control shapeId="1029" r:id="rId6" name="Run_Model">
          <controlPr defaultSize="0" autoLine="0" autoPict="0" r:id="rId7">
            <anchor moveWithCells="1">
              <from>
                <xdr:col>5</xdr:col>
                <xdr:colOff>762000</xdr:colOff>
                <xdr:row>1</xdr:row>
                <xdr:rowOff>127000</xdr:rowOff>
              </from>
              <to>
                <xdr:col>6</xdr:col>
                <xdr:colOff>19050</xdr:colOff>
                <xdr:row>3</xdr:row>
                <xdr:rowOff>38100</xdr:rowOff>
              </to>
            </anchor>
          </controlPr>
        </control>
      </mc:Choice>
      <mc:Fallback>
        <control shapeId="1029" r:id="rId6" name="Run_Model"/>
      </mc:Fallback>
    </mc:AlternateContent>
    <mc:AlternateContent xmlns:mc="http://schemas.openxmlformats.org/markup-compatibility/2006">
      <mc:Choice Requires="x14">
        <control shapeId="1036" r:id="rId8" name="ComboBox1">
          <controlPr defaultSize="0" autoLine="0" autoPict="0" r:id="rId9">
            <anchor moveWithCells="1">
              <from>
                <xdr:col>0</xdr:col>
                <xdr:colOff>0</xdr:colOff>
                <xdr:row>2</xdr:row>
                <xdr:rowOff>285750</xdr:rowOff>
              </from>
              <to>
                <xdr:col>2</xdr:col>
                <xdr:colOff>19050</xdr:colOff>
                <xdr:row>4</xdr:row>
                <xdr:rowOff>19050</xdr:rowOff>
              </to>
            </anchor>
          </controlPr>
        </control>
      </mc:Choice>
      <mc:Fallback>
        <control shapeId="1036" r:id="rId8" name="ComboBox1"/>
      </mc:Fallback>
    </mc:AlternateContent>
    <mc:AlternateContent xmlns:mc="http://schemas.openxmlformats.org/markup-compatibility/2006">
      <mc:Choice Requires="x14">
        <control shapeId="1037" r:id="rId10" name="ComboBox2">
          <controlPr defaultSize="0" autoLine="0" autoPict="0" r:id="rId11">
            <anchor moveWithCells="1">
              <from>
                <xdr:col>2</xdr:col>
                <xdr:colOff>12700</xdr:colOff>
                <xdr:row>2</xdr:row>
                <xdr:rowOff>285750</xdr:rowOff>
              </from>
              <to>
                <xdr:col>3</xdr:col>
                <xdr:colOff>6350</xdr:colOff>
                <xdr:row>4</xdr:row>
                <xdr:rowOff>69850</xdr:rowOff>
              </to>
            </anchor>
          </controlPr>
        </control>
      </mc:Choice>
      <mc:Fallback>
        <control shapeId="1037" r:id="rId10" name="ComboBox2"/>
      </mc:Fallback>
    </mc:AlternateContent>
    <mc:AlternateContent xmlns:mc="http://schemas.openxmlformats.org/markup-compatibility/2006">
      <mc:Choice Requires="x14">
        <control shapeId="1038" r:id="rId12" name="ComboBox3">
          <controlPr defaultSize="0" autoLine="0" autoPict="0" r:id="rId13">
            <anchor moveWithCells="1">
              <from>
                <xdr:col>3</xdr:col>
                <xdr:colOff>12700</xdr:colOff>
                <xdr:row>3</xdr:row>
                <xdr:rowOff>6350</xdr:rowOff>
              </from>
              <to>
                <xdr:col>4</xdr:col>
                <xdr:colOff>6350</xdr:colOff>
                <xdr:row>4</xdr:row>
                <xdr:rowOff>38100</xdr:rowOff>
              </to>
            </anchor>
          </controlPr>
        </control>
      </mc:Choice>
      <mc:Fallback>
        <control shapeId="1038" r:id="rId12" name="ComboBox3"/>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AC54"/>
  <sheetViews>
    <sheetView zoomScale="60" zoomScaleNormal="60" workbookViewId="0">
      <selection sqref="A1:D1"/>
    </sheetView>
  </sheetViews>
  <sheetFormatPr defaultColWidth="27.7265625" defaultRowHeight="14.5" x14ac:dyDescent="0.35"/>
  <sheetData>
    <row r="1" spans="1:29" ht="27.75" customHeight="1" x14ac:dyDescent="0.35">
      <c r="A1" s="86" t="s">
        <v>26</v>
      </c>
      <c r="B1" s="86"/>
      <c r="C1" s="86"/>
      <c r="D1" s="86"/>
      <c r="F1" s="86" t="s">
        <v>27</v>
      </c>
      <c r="G1" s="86"/>
      <c r="H1" s="86"/>
      <c r="I1" s="86"/>
      <c r="J1" s="28"/>
      <c r="K1" s="84" t="s">
        <v>28</v>
      </c>
      <c r="L1" s="84"/>
      <c r="M1" s="84"/>
      <c r="N1" s="84"/>
      <c r="P1" s="84" t="s">
        <v>29</v>
      </c>
      <c r="Q1" s="84"/>
      <c r="R1" s="84"/>
      <c r="S1" s="84"/>
      <c r="T1" s="29"/>
      <c r="U1" s="85" t="s">
        <v>32</v>
      </c>
      <c r="V1" s="85"/>
      <c r="W1" s="85"/>
      <c r="X1" s="85"/>
      <c r="Y1" s="9"/>
      <c r="Z1" s="85" t="s">
        <v>33</v>
      </c>
      <c r="AA1" s="85"/>
      <c r="AB1" s="85"/>
      <c r="AC1" s="85"/>
    </row>
    <row r="2" spans="1:29" ht="30" x14ac:dyDescent="0.35">
      <c r="A2" s="1" t="s">
        <v>0</v>
      </c>
      <c r="B2" s="1" t="s">
        <v>3</v>
      </c>
      <c r="C2" s="1" t="s">
        <v>1</v>
      </c>
      <c r="D2" s="1" t="s">
        <v>2</v>
      </c>
      <c r="F2" s="27" t="s">
        <v>0</v>
      </c>
      <c r="G2" s="27" t="s">
        <v>3</v>
      </c>
      <c r="H2" s="27" t="s">
        <v>1</v>
      </c>
      <c r="I2" s="27" t="s">
        <v>2</v>
      </c>
      <c r="J2" s="27"/>
      <c r="K2" s="27" t="s">
        <v>0</v>
      </c>
      <c r="L2" s="27" t="s">
        <v>3</v>
      </c>
      <c r="M2" s="27" t="s">
        <v>1</v>
      </c>
      <c r="N2" s="27" t="s">
        <v>2</v>
      </c>
      <c r="P2" s="27" t="s">
        <v>0</v>
      </c>
      <c r="Q2" s="27" t="s">
        <v>3</v>
      </c>
      <c r="R2" s="27" t="s">
        <v>1</v>
      </c>
      <c r="S2" s="27" t="s">
        <v>2</v>
      </c>
      <c r="T2" s="27"/>
      <c r="U2" s="1" t="s">
        <v>0</v>
      </c>
      <c r="V2" s="1" t="s">
        <v>3</v>
      </c>
      <c r="W2" s="1" t="s">
        <v>1</v>
      </c>
      <c r="X2" s="1" t="s">
        <v>2</v>
      </c>
      <c r="Y2" s="9"/>
      <c r="Z2" s="27" t="s">
        <v>0</v>
      </c>
      <c r="AA2" s="27" t="s">
        <v>3</v>
      </c>
      <c r="AB2" s="27" t="s">
        <v>1</v>
      </c>
      <c r="AC2" s="27" t="s">
        <v>2</v>
      </c>
    </row>
    <row r="3" spans="1:29" s="43" customFormat="1" ht="15" x14ac:dyDescent="0.3">
      <c r="A3" s="4">
        <v>0</v>
      </c>
      <c r="B3" s="3">
        <v>0.86922213458333342</v>
      </c>
      <c r="C3" s="3">
        <v>1.4670823399963299E-3</v>
      </c>
      <c r="D3" s="4">
        <v>172</v>
      </c>
      <c r="F3" s="4">
        <v>0</v>
      </c>
      <c r="G3" s="44">
        <v>1.1052473179200799</v>
      </c>
      <c r="H3" s="44">
        <v>1.2247397428046499E-3</v>
      </c>
      <c r="I3" s="4">
        <v>172</v>
      </c>
      <c r="J3" s="4"/>
      <c r="K3" s="4">
        <v>0</v>
      </c>
      <c r="L3" s="44">
        <v>0.14122093654794501</v>
      </c>
      <c r="M3" s="44">
        <v>0</v>
      </c>
      <c r="N3" s="4">
        <v>32</v>
      </c>
      <c r="P3" s="4">
        <v>0</v>
      </c>
      <c r="Q3" s="44">
        <v>7.7066852876712305E-2</v>
      </c>
      <c r="R3" s="44">
        <v>0</v>
      </c>
      <c r="S3" s="4">
        <v>32</v>
      </c>
      <c r="T3" s="4"/>
      <c r="U3" s="4">
        <v>0</v>
      </c>
      <c r="V3" s="3">
        <v>0.31960057937500003</v>
      </c>
      <c r="W3" s="44">
        <v>5.6497175141242903E-3</v>
      </c>
      <c r="X3" s="4">
        <v>20</v>
      </c>
      <c r="Y3" s="45"/>
      <c r="Z3" s="4">
        <v>0</v>
      </c>
      <c r="AA3" s="3">
        <v>0.1143869321875</v>
      </c>
      <c r="AB3" s="3">
        <v>8.9285714285714298E-3</v>
      </c>
      <c r="AC3" s="4">
        <v>20</v>
      </c>
    </row>
    <row r="4" spans="1:29" s="43" customFormat="1" ht="15" x14ac:dyDescent="0.3">
      <c r="A4" s="4">
        <v>1</v>
      </c>
      <c r="B4" s="3">
        <v>0.7126955433333334</v>
      </c>
      <c r="C4" s="3">
        <v>1.1003117549972499E-3</v>
      </c>
      <c r="D4" s="4"/>
      <c r="F4" s="4">
        <v>1</v>
      </c>
      <c r="G4" s="44">
        <v>0.86057424754082201</v>
      </c>
      <c r="H4" s="44">
        <v>3.0618493570116399E-4</v>
      </c>
      <c r="I4" s="4"/>
      <c r="J4" s="4"/>
      <c r="K4" s="4">
        <v>1</v>
      </c>
      <c r="L4" s="44">
        <v>0.16689747046575379</v>
      </c>
      <c r="M4" s="44">
        <v>0</v>
      </c>
      <c r="N4" s="4"/>
      <c r="P4" s="4">
        <v>1</v>
      </c>
      <c r="Q4" s="44">
        <v>5.6048620273972602E-2</v>
      </c>
      <c r="R4" s="44">
        <v>0</v>
      </c>
      <c r="S4" s="4"/>
      <c r="T4" s="4"/>
      <c r="U4" s="4">
        <v>1</v>
      </c>
      <c r="V4" s="3">
        <v>0.27474435770833378</v>
      </c>
      <c r="W4" s="44">
        <v>7.0621468926553705E-4</v>
      </c>
      <c r="X4" s="4"/>
      <c r="Y4" s="45"/>
      <c r="Z4" s="4">
        <v>1</v>
      </c>
      <c r="AA4" s="3">
        <v>9.2598945104166261E-2</v>
      </c>
      <c r="AB4" s="3">
        <v>2.2321428571428601E-3</v>
      </c>
      <c r="AC4" s="4"/>
    </row>
    <row r="5" spans="1:29" s="43" customFormat="1" ht="15" x14ac:dyDescent="0.3">
      <c r="A5" s="4">
        <v>2</v>
      </c>
      <c r="B5" s="3">
        <v>0.71935624916666674</v>
      </c>
      <c r="C5" s="3">
        <v>6.4184852374839501E-4</v>
      </c>
      <c r="D5" s="4"/>
      <c r="F5" s="4">
        <v>2</v>
      </c>
      <c r="G5" s="44">
        <v>0.73401921113776003</v>
      </c>
      <c r="H5" s="44">
        <v>9.1855480710349095E-4</v>
      </c>
      <c r="I5" s="4"/>
      <c r="J5" s="4"/>
      <c r="K5" s="4">
        <v>2</v>
      </c>
      <c r="L5" s="44">
        <v>0.18294530416438326</v>
      </c>
      <c r="M5" s="44">
        <v>0</v>
      </c>
      <c r="N5" s="4"/>
      <c r="P5" s="4">
        <v>2</v>
      </c>
      <c r="Q5" s="44">
        <v>5.6048620273972602E-2</v>
      </c>
      <c r="R5" s="44">
        <v>0</v>
      </c>
      <c r="S5" s="4"/>
      <c r="T5" s="4"/>
      <c r="U5" s="4">
        <v>2</v>
      </c>
      <c r="V5" s="3">
        <v>0.37006382874999999</v>
      </c>
      <c r="W5" s="44">
        <v>7.0621468926553705E-4</v>
      </c>
      <c r="X5" s="4"/>
      <c r="Y5" s="45"/>
      <c r="Z5" s="4">
        <v>2</v>
      </c>
      <c r="AA5" s="3">
        <v>5.4469967708333338E-2</v>
      </c>
      <c r="AB5" s="3">
        <v>0</v>
      </c>
      <c r="AC5" s="4"/>
    </row>
    <row r="6" spans="1:29" s="43" customFormat="1" ht="15" x14ac:dyDescent="0.3">
      <c r="A6" s="4">
        <v>3</v>
      </c>
      <c r="B6" s="3">
        <v>0.70270448416666664</v>
      </c>
      <c r="C6" s="3">
        <v>5.5015587749862496E-4</v>
      </c>
      <c r="D6" s="4"/>
      <c r="F6" s="4">
        <v>3</v>
      </c>
      <c r="G6" s="44">
        <v>0.72558220871088897</v>
      </c>
      <c r="H6" s="44">
        <v>0</v>
      </c>
      <c r="I6" s="4"/>
      <c r="J6" s="4"/>
      <c r="K6" s="4">
        <v>3</v>
      </c>
      <c r="L6" s="44">
        <v>0.20220270460273945</v>
      </c>
      <c r="M6" s="44">
        <v>0</v>
      </c>
      <c r="N6" s="4"/>
      <c r="P6" s="4">
        <v>3</v>
      </c>
      <c r="Q6" s="44">
        <v>6.3054697808219207E-2</v>
      </c>
      <c r="R6" s="44">
        <v>0</v>
      </c>
      <c r="S6" s="4"/>
      <c r="T6" s="4"/>
      <c r="U6" s="4">
        <v>3</v>
      </c>
      <c r="V6" s="3">
        <v>0.34202869020833332</v>
      </c>
      <c r="W6" s="44">
        <v>0</v>
      </c>
      <c r="X6" s="4"/>
      <c r="Y6" s="45"/>
      <c r="Z6" s="4">
        <v>3</v>
      </c>
      <c r="AA6" s="3">
        <v>6.5363961250000005E-2</v>
      </c>
      <c r="AB6" s="3">
        <v>6.6964285714285702E-3</v>
      </c>
      <c r="AC6" s="4"/>
    </row>
    <row r="7" spans="1:29" s="43" customFormat="1" ht="15" x14ac:dyDescent="0.3">
      <c r="A7" s="4">
        <v>4</v>
      </c>
      <c r="B7" s="3">
        <v>0.60279389416666673</v>
      </c>
      <c r="C7" s="3">
        <v>2.7507793874931199E-4</v>
      </c>
      <c r="D7" s="4"/>
      <c r="F7" s="4">
        <v>4</v>
      </c>
      <c r="G7" s="44">
        <v>0.84370024268707999</v>
      </c>
      <c r="H7" s="44">
        <v>6.1236987140232701E-4</v>
      </c>
      <c r="I7" s="4"/>
      <c r="J7" s="4"/>
      <c r="K7" s="4">
        <v>4</v>
      </c>
      <c r="L7" s="44">
        <v>0.13480180306849324</v>
      </c>
      <c r="M7" s="44">
        <v>0</v>
      </c>
      <c r="N7" s="4"/>
      <c r="P7" s="4">
        <v>4</v>
      </c>
      <c r="Q7" s="44">
        <v>1.40121550684931E-2</v>
      </c>
      <c r="R7" s="44">
        <v>0</v>
      </c>
      <c r="S7" s="4"/>
      <c r="T7" s="4"/>
      <c r="U7" s="4">
        <v>4</v>
      </c>
      <c r="V7" s="3">
        <v>0.29156544083333374</v>
      </c>
      <c r="W7" s="44">
        <v>7.0621468926553705E-4</v>
      </c>
      <c r="X7" s="4"/>
      <c r="Y7" s="45"/>
      <c r="Z7" s="4">
        <v>4</v>
      </c>
      <c r="AA7" s="3">
        <v>5.9916964479166668E-2</v>
      </c>
      <c r="AB7" s="3">
        <v>0</v>
      </c>
      <c r="AC7" s="4"/>
    </row>
    <row r="8" spans="1:29" s="43" customFormat="1" ht="15" x14ac:dyDescent="0.3">
      <c r="A8" s="4">
        <v>5</v>
      </c>
      <c r="B8" s="3">
        <v>0.66274024833333334</v>
      </c>
      <c r="C8" s="3">
        <v>6.4184852374839501E-4</v>
      </c>
      <c r="D8" s="4"/>
      <c r="F8" s="4">
        <v>5</v>
      </c>
      <c r="G8" s="44">
        <v>0.84370024268707999</v>
      </c>
      <c r="H8" s="44">
        <v>1.53092467850582E-3</v>
      </c>
      <c r="I8" s="4"/>
      <c r="J8" s="4"/>
      <c r="K8" s="4">
        <v>5</v>
      </c>
      <c r="L8" s="44">
        <v>0.10912526915068528</v>
      </c>
      <c r="M8" s="44">
        <v>0</v>
      </c>
      <c r="N8" s="4"/>
      <c r="P8" s="4">
        <v>5</v>
      </c>
      <c r="Q8" s="44">
        <v>3.5030387671232899E-2</v>
      </c>
      <c r="R8" s="44">
        <v>0</v>
      </c>
      <c r="S8" s="4"/>
      <c r="T8" s="4"/>
      <c r="U8" s="4">
        <v>5</v>
      </c>
      <c r="V8" s="3">
        <v>0.28595841312499998</v>
      </c>
      <c r="W8" s="44">
        <v>2.1186440677966102E-3</v>
      </c>
      <c r="X8" s="4"/>
      <c r="Y8" s="45"/>
      <c r="Z8" s="4">
        <v>5</v>
      </c>
      <c r="AA8" s="3">
        <v>5.4469967708333338E-2</v>
      </c>
      <c r="AB8" s="3">
        <v>4.4642857142857097E-3</v>
      </c>
      <c r="AC8" s="4"/>
    </row>
    <row r="9" spans="1:29" s="43" customFormat="1" ht="15" x14ac:dyDescent="0.3">
      <c r="A9" s="4">
        <v>6</v>
      </c>
      <c r="B9" s="3">
        <v>0.50621365666666673</v>
      </c>
      <c r="C9" s="3">
        <v>6.4184852374839501E-4</v>
      </c>
      <c r="D9" s="4"/>
      <c r="F9" s="4">
        <v>6</v>
      </c>
      <c r="G9" s="44">
        <v>0.63277518201531002</v>
      </c>
      <c r="H9" s="44">
        <v>6.1236987140232701E-4</v>
      </c>
      <c r="I9" s="4"/>
      <c r="J9" s="4"/>
      <c r="K9" s="4">
        <v>6</v>
      </c>
      <c r="L9" s="44">
        <v>0.13801136980821913</v>
      </c>
      <c r="M9" s="44">
        <v>0</v>
      </c>
      <c r="N9" s="4"/>
      <c r="P9" s="4">
        <v>6</v>
      </c>
      <c r="Q9" s="44">
        <v>6.3054697808219207E-2</v>
      </c>
      <c r="R9" s="44">
        <v>0</v>
      </c>
      <c r="S9" s="4"/>
      <c r="T9" s="4"/>
      <c r="U9" s="4">
        <v>6</v>
      </c>
      <c r="V9" s="3">
        <v>0.25231624687499998</v>
      </c>
      <c r="W9" s="44">
        <v>7.0621468926553705E-4</v>
      </c>
      <c r="X9" s="4"/>
      <c r="Y9" s="45"/>
      <c r="Z9" s="4">
        <v>6</v>
      </c>
      <c r="AA9" s="3">
        <v>5.4469967708333338E-2</v>
      </c>
      <c r="AB9" s="3">
        <v>0</v>
      </c>
      <c r="AC9" s="4"/>
    </row>
    <row r="10" spans="1:29" s="43" customFormat="1" ht="15" x14ac:dyDescent="0.3">
      <c r="A10" s="4">
        <v>7</v>
      </c>
      <c r="B10" s="3">
        <v>0.86922213458333342</v>
      </c>
      <c r="C10" s="3">
        <v>1.74216027874564E-3</v>
      </c>
      <c r="D10" s="4"/>
      <c r="F10" s="4">
        <v>7</v>
      </c>
      <c r="G10" s="44">
        <v>0.69183419900340604</v>
      </c>
      <c r="H10" s="44">
        <v>1.8371096142069799E-3</v>
      </c>
      <c r="I10" s="4"/>
      <c r="J10" s="4"/>
      <c r="K10" s="4">
        <v>7</v>
      </c>
      <c r="L10" s="44">
        <v>0.4814350109589044</v>
      </c>
      <c r="M10" s="44">
        <v>0</v>
      </c>
      <c r="N10" s="4"/>
      <c r="P10" s="4">
        <v>7</v>
      </c>
      <c r="Q10" s="44">
        <v>0.105091163013699</v>
      </c>
      <c r="R10" s="44">
        <v>0</v>
      </c>
      <c r="S10" s="4"/>
      <c r="T10" s="4"/>
      <c r="U10" s="4">
        <v>7</v>
      </c>
      <c r="V10" s="3">
        <v>0.52706060458333337</v>
      </c>
      <c r="W10" s="44">
        <v>1.41242937853107E-3</v>
      </c>
      <c r="X10" s="4"/>
      <c r="Y10" s="45"/>
      <c r="Z10" s="4">
        <v>7</v>
      </c>
      <c r="AA10" s="3">
        <v>3.8128977395833374E-2</v>
      </c>
      <c r="AB10" s="3">
        <v>0</v>
      </c>
      <c r="AC10" s="4"/>
    </row>
    <row r="11" spans="1:29" s="43" customFormat="1" ht="15" x14ac:dyDescent="0.3">
      <c r="A11" s="4">
        <v>8</v>
      </c>
      <c r="B11" s="3">
        <v>1.4020786154166667</v>
      </c>
      <c r="C11" s="3">
        <v>3.9427837887401401E-3</v>
      </c>
      <c r="D11" s="4"/>
      <c r="F11" s="4">
        <v>8</v>
      </c>
      <c r="G11" s="44">
        <v>1.19805434461565</v>
      </c>
      <c r="H11" s="44">
        <v>2.7556644213104701E-3</v>
      </c>
      <c r="I11" s="4"/>
      <c r="J11" s="4"/>
      <c r="K11" s="4">
        <v>8</v>
      </c>
      <c r="L11" s="44">
        <v>0.37551930854794502</v>
      </c>
      <c r="M11" s="44">
        <v>0</v>
      </c>
      <c r="N11" s="4"/>
      <c r="P11" s="4">
        <v>8</v>
      </c>
      <c r="Q11" s="44">
        <v>0.28024310136986302</v>
      </c>
      <c r="R11" s="44">
        <v>0</v>
      </c>
      <c r="S11" s="4"/>
      <c r="T11" s="4"/>
      <c r="U11" s="4">
        <v>8</v>
      </c>
      <c r="V11" s="3">
        <v>0.44295518895833336</v>
      </c>
      <c r="W11" s="44">
        <v>8.4745762711864406E-3</v>
      </c>
      <c r="X11" s="4"/>
      <c r="Y11" s="45"/>
      <c r="Z11" s="4">
        <v>8</v>
      </c>
      <c r="AA11" s="3">
        <v>5.9916964479166668E-2</v>
      </c>
      <c r="AB11" s="3">
        <v>1.7857142857142901E-2</v>
      </c>
      <c r="AC11" s="4"/>
    </row>
    <row r="12" spans="1:29" s="43" customFormat="1" ht="15" x14ac:dyDescent="0.3">
      <c r="A12" s="4">
        <v>9</v>
      </c>
      <c r="B12" s="3">
        <v>1.8383548591666665</v>
      </c>
      <c r="C12" s="3">
        <v>1.2378507243719101E-2</v>
      </c>
      <c r="D12" s="4"/>
      <c r="F12" s="4">
        <v>9</v>
      </c>
      <c r="G12" s="44">
        <v>1.3583573907262001</v>
      </c>
      <c r="H12" s="44">
        <v>1.2247397428046499E-2</v>
      </c>
      <c r="I12" s="4"/>
      <c r="J12" s="4"/>
      <c r="K12" s="4">
        <v>9</v>
      </c>
      <c r="L12" s="44">
        <v>0.51353067835616417</v>
      </c>
      <c r="M12" s="44">
        <v>0</v>
      </c>
      <c r="N12" s="4"/>
      <c r="P12" s="4">
        <v>9</v>
      </c>
      <c r="Q12" s="44">
        <v>0.24521271369863001</v>
      </c>
      <c r="R12" s="44">
        <v>0</v>
      </c>
      <c r="S12" s="4"/>
      <c r="T12" s="4"/>
      <c r="U12" s="4">
        <v>9</v>
      </c>
      <c r="V12" s="3">
        <v>0.4149200504166663</v>
      </c>
      <c r="W12" s="44">
        <v>2.6836158192090401E-2</v>
      </c>
      <c r="X12" s="4"/>
      <c r="Y12" s="45"/>
      <c r="Z12" s="4">
        <v>9</v>
      </c>
      <c r="AA12" s="3">
        <v>5.4469967708333338E-2</v>
      </c>
      <c r="AB12" s="3">
        <v>4.0178571428571397E-2</v>
      </c>
      <c r="AC12" s="4"/>
    </row>
    <row r="13" spans="1:29" s="43" customFormat="1" ht="15" x14ac:dyDescent="0.3">
      <c r="A13" s="4">
        <v>10</v>
      </c>
      <c r="B13" s="3">
        <v>2.0914616875000003</v>
      </c>
      <c r="C13" s="3">
        <v>2.7966257106180101E-2</v>
      </c>
      <c r="D13" s="4"/>
      <c r="F13" s="4">
        <v>10</v>
      </c>
      <c r="G13" s="44">
        <v>1.8223925242040899</v>
      </c>
      <c r="H13" s="44">
        <v>3.5517452541335003E-2</v>
      </c>
      <c r="I13" s="4"/>
      <c r="J13" s="4"/>
      <c r="K13" s="4">
        <v>10</v>
      </c>
      <c r="L13" s="44">
        <v>0.53599764553424623</v>
      </c>
      <c r="M13" s="44">
        <v>0</v>
      </c>
      <c r="N13" s="4"/>
      <c r="P13" s="4">
        <v>10</v>
      </c>
      <c r="Q13" s="44">
        <v>0.25922486876712297</v>
      </c>
      <c r="R13" s="44">
        <v>0</v>
      </c>
      <c r="S13" s="4"/>
      <c r="T13" s="4"/>
      <c r="U13" s="4">
        <v>10</v>
      </c>
      <c r="V13" s="3">
        <v>0.36445680104166622</v>
      </c>
      <c r="W13" s="44">
        <v>7.9802259887005594E-2</v>
      </c>
      <c r="X13" s="4"/>
      <c r="Y13" s="45"/>
      <c r="Z13" s="4">
        <v>10</v>
      </c>
      <c r="AA13" s="3">
        <v>0.1143869321875</v>
      </c>
      <c r="AB13" s="3">
        <v>4.2410714285714302E-2</v>
      </c>
      <c r="AC13" s="4"/>
    </row>
    <row r="14" spans="1:29" s="43" customFormat="1" ht="15" x14ac:dyDescent="0.3">
      <c r="A14" s="4">
        <v>11</v>
      </c>
      <c r="B14" s="3">
        <v>2.6143271095833334</v>
      </c>
      <c r="C14" s="3">
        <v>4.71300201723822E-2</v>
      </c>
      <c r="D14" s="4"/>
      <c r="F14" s="4">
        <v>11</v>
      </c>
      <c r="G14" s="44">
        <v>2.05862859215648</v>
      </c>
      <c r="H14" s="44">
        <v>7.31781996325781E-2</v>
      </c>
      <c r="I14" s="4"/>
      <c r="J14" s="4"/>
      <c r="K14" s="4">
        <v>11</v>
      </c>
      <c r="L14" s="44">
        <v>0.51032111161643834</v>
      </c>
      <c r="M14" s="44">
        <v>0</v>
      </c>
      <c r="N14" s="4"/>
      <c r="P14" s="4">
        <v>11</v>
      </c>
      <c r="Q14" s="44">
        <v>0.32928564410958899</v>
      </c>
      <c r="R14" s="44">
        <v>0</v>
      </c>
      <c r="S14" s="4"/>
      <c r="T14" s="4"/>
      <c r="U14" s="4">
        <v>11</v>
      </c>
      <c r="V14" s="3">
        <v>0.55509574312499999</v>
      </c>
      <c r="W14" s="44">
        <v>9.6045197740112997E-2</v>
      </c>
      <c r="X14" s="4"/>
      <c r="Y14" s="45"/>
      <c r="Z14" s="4">
        <v>11</v>
      </c>
      <c r="AA14" s="3">
        <v>0.1143869321875</v>
      </c>
      <c r="AB14" s="3">
        <v>8.9285714285714302E-2</v>
      </c>
      <c r="AC14" s="4"/>
    </row>
    <row r="15" spans="1:29" s="43" customFormat="1" ht="15" x14ac:dyDescent="0.3">
      <c r="A15" s="4">
        <v>12</v>
      </c>
      <c r="B15" s="3">
        <v>2.9140588800000002</v>
      </c>
      <c r="C15" s="3">
        <v>6.9778103796075602E-2</v>
      </c>
      <c r="D15" s="4"/>
      <c r="F15" s="4">
        <v>12</v>
      </c>
      <c r="G15" s="44">
        <v>1.97425856788777</v>
      </c>
      <c r="H15" s="44">
        <v>0.100428658909982</v>
      </c>
      <c r="I15" s="4"/>
      <c r="J15" s="4"/>
      <c r="K15" s="4">
        <v>12</v>
      </c>
      <c r="L15" s="44">
        <v>0.61302724728767088</v>
      </c>
      <c r="M15" s="44">
        <v>2.77207392197126E-2</v>
      </c>
      <c r="N15" s="4"/>
      <c r="P15" s="4">
        <v>12</v>
      </c>
      <c r="Q15" s="44">
        <v>0.231200558630137</v>
      </c>
      <c r="R15" s="44">
        <v>6.3076923076923003E-2</v>
      </c>
      <c r="S15" s="4"/>
      <c r="T15" s="4"/>
      <c r="U15" s="4">
        <v>12</v>
      </c>
      <c r="V15" s="3">
        <v>0.6055589925</v>
      </c>
      <c r="W15" s="44">
        <v>0.10240112994350301</v>
      </c>
      <c r="X15" s="4"/>
      <c r="Y15" s="45"/>
      <c r="Z15" s="4">
        <v>12</v>
      </c>
      <c r="AA15" s="3">
        <v>0.13617491927083375</v>
      </c>
      <c r="AB15" s="3">
        <v>0.109375</v>
      </c>
      <c r="AC15" s="4"/>
    </row>
    <row r="16" spans="1:29" s="43" customFormat="1" ht="15" x14ac:dyDescent="0.3">
      <c r="A16" s="4">
        <v>13</v>
      </c>
      <c r="B16" s="3">
        <v>3.2037995912500001</v>
      </c>
      <c r="C16" s="3">
        <v>0.120667522464698</v>
      </c>
      <c r="D16" s="4"/>
      <c r="F16" s="4">
        <v>13</v>
      </c>
      <c r="G16" s="44">
        <v>2.0839395994370902</v>
      </c>
      <c r="H16" s="44">
        <v>0.129822412737293</v>
      </c>
      <c r="I16" s="4"/>
      <c r="J16" s="4"/>
      <c r="K16" s="4">
        <v>13</v>
      </c>
      <c r="L16" s="44">
        <v>0.59376984684931478</v>
      </c>
      <c r="M16" s="44">
        <v>3.4907597535934302E-2</v>
      </c>
      <c r="N16" s="4"/>
      <c r="P16" s="4">
        <v>13</v>
      </c>
      <c r="Q16" s="44">
        <v>0.30126133397260302</v>
      </c>
      <c r="R16" s="44">
        <v>5.8461538461538502E-2</v>
      </c>
      <c r="S16" s="4"/>
      <c r="T16" s="4"/>
      <c r="U16" s="4">
        <v>13</v>
      </c>
      <c r="V16" s="3">
        <v>0.62238007562499997</v>
      </c>
      <c r="W16" s="44">
        <v>7.3446327683615795E-2</v>
      </c>
      <c r="X16" s="4"/>
      <c r="Y16" s="45"/>
      <c r="Z16" s="4">
        <v>13</v>
      </c>
      <c r="AA16" s="3">
        <v>0.1143869321875</v>
      </c>
      <c r="AB16" s="3">
        <v>9.5982142857142905E-2</v>
      </c>
      <c r="AC16" s="4"/>
    </row>
    <row r="17" spans="1:29" s="43" customFormat="1" ht="15" x14ac:dyDescent="0.3">
      <c r="A17" s="4">
        <v>14</v>
      </c>
      <c r="B17" s="3">
        <v>3.2437638275</v>
      </c>
      <c r="C17" s="3">
        <v>0.14074821199339799</v>
      </c>
      <c r="D17" s="4"/>
      <c r="F17" s="4">
        <v>14</v>
      </c>
      <c r="G17" s="44">
        <v>1.72114849508164</v>
      </c>
      <c r="H17" s="44">
        <v>0.17115737905695</v>
      </c>
      <c r="I17" s="4"/>
      <c r="J17" s="4"/>
      <c r="K17" s="4">
        <v>14</v>
      </c>
      <c r="L17" s="44">
        <v>0.61623681402739772</v>
      </c>
      <c r="M17" s="44">
        <v>5.6981519507186898E-2</v>
      </c>
      <c r="N17" s="4"/>
      <c r="P17" s="4">
        <v>14</v>
      </c>
      <c r="Q17" s="44">
        <v>0.25221879123287699</v>
      </c>
      <c r="R17" s="44">
        <v>0.08</v>
      </c>
      <c r="S17" s="4"/>
      <c r="T17" s="4"/>
      <c r="U17" s="4">
        <v>14</v>
      </c>
      <c r="V17" s="3">
        <v>0.62238007562499997</v>
      </c>
      <c r="W17" s="44">
        <v>0.13983050847457601</v>
      </c>
      <c r="X17" s="4"/>
      <c r="Y17" s="45"/>
      <c r="Z17" s="4">
        <v>14</v>
      </c>
      <c r="AA17" s="3">
        <v>0.12528092572916624</v>
      </c>
      <c r="AB17" s="3">
        <v>0.12723214285714299</v>
      </c>
      <c r="AC17" s="4"/>
    </row>
    <row r="18" spans="1:29" s="43" customFormat="1" ht="15" x14ac:dyDescent="0.3">
      <c r="A18" s="4">
        <v>15</v>
      </c>
      <c r="B18" s="3">
        <v>3.1738264145833335</v>
      </c>
      <c r="C18" s="3">
        <v>0.103154227030992</v>
      </c>
      <c r="D18" s="4"/>
      <c r="F18" s="4">
        <v>15</v>
      </c>
      <c r="G18" s="44">
        <v>1.45960141984865</v>
      </c>
      <c r="H18" s="44">
        <v>0.161665646050214</v>
      </c>
      <c r="I18" s="4"/>
      <c r="J18" s="4"/>
      <c r="K18" s="4">
        <v>15</v>
      </c>
      <c r="L18" s="44">
        <v>0.56809331293150678</v>
      </c>
      <c r="M18" s="44">
        <v>0.11190965092402499</v>
      </c>
      <c r="N18" s="4"/>
      <c r="P18" s="4">
        <v>15</v>
      </c>
      <c r="Q18" s="44">
        <v>0.25221879123287699</v>
      </c>
      <c r="R18" s="44">
        <v>0.16615384615384701</v>
      </c>
      <c r="S18" s="4"/>
      <c r="T18" s="4"/>
      <c r="U18" s="4">
        <v>15</v>
      </c>
      <c r="V18" s="3">
        <v>0.64480818645833338</v>
      </c>
      <c r="W18" s="44">
        <v>7.4152542372881394E-2</v>
      </c>
      <c r="X18" s="4"/>
      <c r="Y18" s="45"/>
      <c r="Z18" s="4">
        <v>15</v>
      </c>
      <c r="AA18" s="3">
        <v>9.2598945104166261E-2</v>
      </c>
      <c r="AB18" s="3">
        <v>0.111607142857143</v>
      </c>
      <c r="AC18" s="4"/>
    </row>
    <row r="19" spans="1:29" s="43" customFormat="1" ht="15" x14ac:dyDescent="0.3">
      <c r="A19" s="4">
        <v>16</v>
      </c>
      <c r="B19" s="3">
        <v>2.7342198175000001</v>
      </c>
      <c r="C19" s="3">
        <v>0.13451311204841401</v>
      </c>
      <c r="D19" s="4"/>
      <c r="F19" s="4">
        <v>16</v>
      </c>
      <c r="G19" s="44">
        <v>1.4427274149949101</v>
      </c>
      <c r="H19" s="44">
        <v>0.108695652173913</v>
      </c>
      <c r="I19" s="4"/>
      <c r="J19" s="4"/>
      <c r="K19" s="4">
        <v>16</v>
      </c>
      <c r="L19" s="44">
        <v>0.62265594750684949</v>
      </c>
      <c r="M19" s="44">
        <v>0.14168377823408601</v>
      </c>
      <c r="N19" s="4"/>
      <c r="P19" s="4">
        <v>16</v>
      </c>
      <c r="Q19" s="44">
        <v>0.28724917890411</v>
      </c>
      <c r="R19" s="44">
        <v>0.17692307692307699</v>
      </c>
      <c r="S19" s="4"/>
      <c r="T19" s="4"/>
      <c r="U19" s="4">
        <v>16</v>
      </c>
      <c r="V19" s="3">
        <v>0.61116602020833333</v>
      </c>
      <c r="W19" s="44">
        <v>8.2627118644067798E-2</v>
      </c>
      <c r="X19" s="4"/>
      <c r="Y19" s="45"/>
      <c r="Z19" s="4">
        <v>16</v>
      </c>
      <c r="AA19" s="3">
        <v>0.10893993541666624</v>
      </c>
      <c r="AB19" s="3">
        <v>0.10044642857142901</v>
      </c>
      <c r="AC19" s="4"/>
    </row>
    <row r="20" spans="1:29" s="43" customFormat="1" ht="15" x14ac:dyDescent="0.3">
      <c r="A20" s="4">
        <v>17</v>
      </c>
      <c r="B20" s="3">
        <v>2.3978541641666666</v>
      </c>
      <c r="C20" s="3">
        <v>0.12387676508344</v>
      </c>
      <c r="D20" s="4"/>
      <c r="F20" s="4">
        <v>17</v>
      </c>
      <c r="G20" s="44">
        <v>1.4427274149949101</v>
      </c>
      <c r="H20" s="44">
        <v>6.8891610532761799E-2</v>
      </c>
      <c r="I20" s="4"/>
      <c r="J20" s="4"/>
      <c r="K20" s="4">
        <v>17</v>
      </c>
      <c r="L20" s="44">
        <v>0.57130287967123261</v>
      </c>
      <c r="M20" s="44">
        <v>0.140143737166324</v>
      </c>
      <c r="N20" s="4"/>
      <c r="P20" s="4">
        <v>17</v>
      </c>
      <c r="Q20" s="44">
        <v>0.210182326027397</v>
      </c>
      <c r="R20" s="44">
        <v>0.14769230769230801</v>
      </c>
      <c r="S20" s="4"/>
      <c r="T20" s="4"/>
      <c r="U20" s="4">
        <v>17</v>
      </c>
      <c r="V20" s="3">
        <v>0.6504152141666667</v>
      </c>
      <c r="W20" s="44">
        <v>7.4858757062146897E-2</v>
      </c>
      <c r="X20" s="4"/>
      <c r="Y20" s="45"/>
      <c r="Z20" s="4">
        <v>17</v>
      </c>
      <c r="AA20" s="3">
        <v>0.12528092572916624</v>
      </c>
      <c r="AB20" s="3">
        <v>0.10267857142857099</v>
      </c>
      <c r="AC20" s="4"/>
    </row>
    <row r="21" spans="1:29" s="43" customFormat="1" ht="15" x14ac:dyDescent="0.3">
      <c r="A21" s="4">
        <v>18</v>
      </c>
      <c r="B21" s="3">
        <v>2.2280061608333335</v>
      </c>
      <c r="C21" s="3">
        <v>0.10746378140473101</v>
      </c>
      <c r="D21" s="4"/>
      <c r="F21" s="4">
        <v>18</v>
      </c>
      <c r="G21" s="44">
        <v>1.43429041256804</v>
      </c>
      <c r="H21" s="44">
        <v>6.3380281690140802E-2</v>
      </c>
      <c r="I21" s="4"/>
      <c r="J21" s="4"/>
      <c r="K21" s="4">
        <v>18</v>
      </c>
      <c r="L21" s="44">
        <v>0.49427327791780795</v>
      </c>
      <c r="M21" s="44">
        <v>0.13295687885010299</v>
      </c>
      <c r="N21" s="4"/>
      <c r="P21" s="4">
        <v>18</v>
      </c>
      <c r="Q21" s="44">
        <v>0.28024310136986302</v>
      </c>
      <c r="R21" s="44">
        <v>0.10153846153846199</v>
      </c>
      <c r="S21" s="4"/>
      <c r="T21" s="4"/>
      <c r="U21" s="4">
        <v>18</v>
      </c>
      <c r="V21" s="3">
        <v>0.57752385395833328</v>
      </c>
      <c r="W21" s="44">
        <v>0.105932203389831</v>
      </c>
      <c r="X21" s="4"/>
      <c r="Y21" s="45"/>
      <c r="Z21" s="4">
        <v>18</v>
      </c>
      <c r="AA21" s="3">
        <v>0.1143869321875</v>
      </c>
      <c r="AB21" s="3">
        <v>9.5982142857142905E-2</v>
      </c>
      <c r="AC21" s="4"/>
    </row>
    <row r="22" spans="1:29" s="43" customFormat="1" ht="15" x14ac:dyDescent="0.3">
      <c r="A22" s="4">
        <v>19</v>
      </c>
      <c r="B22" s="3">
        <v>2.0614885104166665</v>
      </c>
      <c r="C22" s="3">
        <v>5.64826700898588E-2</v>
      </c>
      <c r="D22" s="4"/>
      <c r="F22" s="4">
        <v>19</v>
      </c>
      <c r="G22" s="44">
        <v>1.56928245139797</v>
      </c>
      <c r="H22" s="44">
        <v>4.5621555419473402E-2</v>
      </c>
      <c r="I22" s="4"/>
      <c r="J22" s="4"/>
      <c r="K22" s="4">
        <v>19</v>
      </c>
      <c r="L22" s="44">
        <v>0.3434236411506853</v>
      </c>
      <c r="M22" s="44">
        <v>0.13501026694045201</v>
      </c>
      <c r="N22" s="4"/>
      <c r="P22" s="4">
        <v>19</v>
      </c>
      <c r="Q22" s="44">
        <v>0.14712762821917799</v>
      </c>
      <c r="R22" s="44">
        <v>0.10153846153846199</v>
      </c>
      <c r="S22" s="4"/>
      <c r="T22" s="4"/>
      <c r="U22" s="4">
        <v>19</v>
      </c>
      <c r="V22" s="3">
        <v>0.49341843833333332</v>
      </c>
      <c r="W22" s="44">
        <v>7.8389830508474603E-2</v>
      </c>
      <c r="X22" s="4"/>
      <c r="Y22" s="45"/>
      <c r="Z22" s="4">
        <v>19</v>
      </c>
      <c r="AA22" s="3">
        <v>9.8045941875000001E-2</v>
      </c>
      <c r="AB22" s="3">
        <v>1.7857142857142901E-2</v>
      </c>
      <c r="AC22" s="4"/>
    </row>
    <row r="23" spans="1:29" s="43" customFormat="1" ht="15" x14ac:dyDescent="0.3">
      <c r="A23" s="4">
        <v>20</v>
      </c>
      <c r="B23" s="3">
        <v>2.0348456866666669</v>
      </c>
      <c r="C23" s="3">
        <v>2.3656702732440901E-2</v>
      </c>
      <c r="D23" s="4"/>
      <c r="F23" s="4">
        <v>20</v>
      </c>
      <c r="G23" s="44">
        <v>1.5102234344098699</v>
      </c>
      <c r="H23" s="44">
        <v>1.0410287813839601E-2</v>
      </c>
      <c r="I23" s="4"/>
      <c r="J23" s="4"/>
      <c r="K23" s="4">
        <v>20</v>
      </c>
      <c r="L23" s="44">
        <v>0.23429837200000003</v>
      </c>
      <c r="M23" s="44">
        <v>0.11806981519507199</v>
      </c>
      <c r="N23" s="4"/>
      <c r="P23" s="4">
        <v>20</v>
      </c>
      <c r="Q23" s="44">
        <v>9.8085085479452105E-2</v>
      </c>
      <c r="R23" s="44">
        <v>6.6153846153846105E-2</v>
      </c>
      <c r="S23" s="4"/>
      <c r="T23" s="4"/>
      <c r="U23" s="4">
        <v>20</v>
      </c>
      <c r="V23" s="3">
        <v>0.50463249374999997</v>
      </c>
      <c r="W23" s="44">
        <v>2.4011299435028201E-2</v>
      </c>
      <c r="X23" s="4"/>
      <c r="Y23" s="45"/>
      <c r="Z23" s="4">
        <v>20</v>
      </c>
      <c r="AA23" s="3">
        <v>0.17430389666666624</v>
      </c>
      <c r="AB23" s="3">
        <v>1.11607142857143E-2</v>
      </c>
      <c r="AC23" s="4"/>
    </row>
    <row r="24" spans="1:29" s="43" customFormat="1" ht="15" x14ac:dyDescent="0.3">
      <c r="A24" s="4">
        <v>21</v>
      </c>
      <c r="B24" s="3">
        <v>1.6485247379166665</v>
      </c>
      <c r="C24" s="3">
        <v>1.09114249037227E-2</v>
      </c>
      <c r="D24" s="4"/>
      <c r="F24" s="4">
        <v>21</v>
      </c>
      <c r="G24" s="44">
        <v>1.2402393567500101</v>
      </c>
      <c r="H24" s="44">
        <v>3.9804041641151302E-3</v>
      </c>
      <c r="I24" s="4"/>
      <c r="J24" s="4"/>
      <c r="K24" s="4">
        <v>21</v>
      </c>
      <c r="L24" s="44">
        <v>0.20541227134246615</v>
      </c>
      <c r="M24" s="44">
        <v>6.4168377823408604E-2</v>
      </c>
      <c r="N24" s="4"/>
      <c r="P24" s="4">
        <v>21</v>
      </c>
      <c r="Q24" s="44">
        <v>0.119103318082192</v>
      </c>
      <c r="R24" s="44">
        <v>2.76923076923077E-2</v>
      </c>
      <c r="S24" s="4"/>
      <c r="T24" s="4"/>
      <c r="U24" s="4">
        <v>21</v>
      </c>
      <c r="V24" s="3">
        <v>0.59434493708333336</v>
      </c>
      <c r="W24" s="44">
        <v>1.20056497175141E-2</v>
      </c>
      <c r="X24" s="4"/>
      <c r="Y24" s="45"/>
      <c r="Z24" s="4">
        <v>21</v>
      </c>
      <c r="AA24" s="3">
        <v>0.10893993541666624</v>
      </c>
      <c r="AB24" s="3">
        <v>1.11607142857143E-2</v>
      </c>
      <c r="AC24" s="4"/>
    </row>
    <row r="25" spans="1:29" s="43" customFormat="1" ht="15" x14ac:dyDescent="0.3">
      <c r="A25" s="4">
        <v>22</v>
      </c>
      <c r="B25" s="3">
        <v>1.3920875562499999</v>
      </c>
      <c r="C25" s="3">
        <v>6.1434072987346404E-3</v>
      </c>
      <c r="D25" s="4"/>
      <c r="F25" s="4">
        <v>22</v>
      </c>
      <c r="G25" s="44">
        <v>1.1811803397619101</v>
      </c>
      <c r="H25" s="44">
        <v>3.3680342927128E-3</v>
      </c>
      <c r="I25" s="4"/>
      <c r="J25" s="4"/>
      <c r="K25" s="4">
        <v>22</v>
      </c>
      <c r="L25" s="44">
        <v>0.16047833698630118</v>
      </c>
      <c r="M25" s="44">
        <v>3.6447638603696098E-2</v>
      </c>
      <c r="N25" s="4"/>
      <c r="P25" s="4">
        <v>22</v>
      </c>
      <c r="Q25" s="44">
        <v>0.126109395616438</v>
      </c>
      <c r="R25" s="44">
        <v>1.07692307692308E-2</v>
      </c>
      <c r="S25" s="4"/>
      <c r="T25" s="4"/>
      <c r="U25" s="4">
        <v>22</v>
      </c>
      <c r="V25" s="3">
        <v>0.5102395214583334</v>
      </c>
      <c r="W25" s="44">
        <v>6.3559322033898301E-3</v>
      </c>
      <c r="X25" s="4"/>
      <c r="Y25" s="45"/>
      <c r="Z25" s="4">
        <v>22</v>
      </c>
      <c r="AA25" s="3">
        <v>0.1143869321875</v>
      </c>
      <c r="AB25" s="3">
        <v>0</v>
      </c>
      <c r="AC25" s="4"/>
    </row>
    <row r="26" spans="1:29" s="43" customFormat="1" ht="15" x14ac:dyDescent="0.3">
      <c r="A26" s="4">
        <v>23</v>
      </c>
      <c r="B26" s="3">
        <v>1.3188197904166665</v>
      </c>
      <c r="C26" s="3">
        <v>4.1261690812396798E-3</v>
      </c>
      <c r="D26" s="4"/>
      <c r="F26" s="4">
        <v>23</v>
      </c>
      <c r="G26" s="44">
        <v>1.1052473179200799</v>
      </c>
      <c r="H26" s="44">
        <v>1.8371096142069799E-3</v>
      </c>
      <c r="I26" s="4"/>
      <c r="J26" s="4"/>
      <c r="K26" s="4">
        <v>23</v>
      </c>
      <c r="L26" s="44">
        <v>0.17652617068493148</v>
      </c>
      <c r="M26" s="44">
        <v>0</v>
      </c>
      <c r="N26" s="4"/>
      <c r="P26" s="4">
        <v>23</v>
      </c>
      <c r="Q26" s="44">
        <v>9.1079007945205501E-2</v>
      </c>
      <c r="R26" s="44">
        <v>0</v>
      </c>
      <c r="S26" s="4"/>
      <c r="T26" s="4"/>
      <c r="U26" s="4">
        <v>23</v>
      </c>
      <c r="V26" s="3">
        <v>0.43174113354166671</v>
      </c>
      <c r="W26" s="44">
        <v>2.8248587570621499E-3</v>
      </c>
      <c r="X26" s="4"/>
      <c r="Y26" s="45"/>
      <c r="Z26" s="4">
        <v>23</v>
      </c>
      <c r="AA26" s="3">
        <v>9.2598945104166261E-2</v>
      </c>
      <c r="AB26" s="3">
        <v>4.4642857142857097E-3</v>
      </c>
      <c r="AC26" s="4"/>
    </row>
    <row r="27" spans="1:29" x14ac:dyDescent="0.35">
      <c r="A27" s="9"/>
      <c r="B27" s="9"/>
      <c r="C27" s="9"/>
      <c r="D27" s="9"/>
      <c r="L27" s="9"/>
      <c r="M27" s="9"/>
      <c r="N27" s="9"/>
      <c r="O27" s="9"/>
      <c r="P27" s="9"/>
      <c r="Q27" s="9"/>
      <c r="R27" s="9"/>
    </row>
    <row r="28" spans="1:29" x14ac:dyDescent="0.35">
      <c r="L28" s="9"/>
      <c r="M28" s="9"/>
      <c r="N28" s="9"/>
      <c r="O28" s="9"/>
      <c r="P28" s="9"/>
      <c r="Q28" s="9"/>
      <c r="R28" s="9"/>
    </row>
    <row r="29" spans="1:29" ht="31.5" customHeight="1" x14ac:dyDescent="0.35">
      <c r="K29" s="84" t="s">
        <v>31</v>
      </c>
      <c r="L29" s="84"/>
      <c r="M29" s="84"/>
      <c r="N29" s="84"/>
      <c r="P29" s="84" t="s">
        <v>30</v>
      </c>
      <c r="Q29" s="84"/>
      <c r="R29" s="84"/>
      <c r="S29" s="84"/>
    </row>
    <row r="30" spans="1:29" ht="30" x14ac:dyDescent="0.35">
      <c r="K30" s="48" t="s">
        <v>0</v>
      </c>
      <c r="L30" s="48" t="s">
        <v>3</v>
      </c>
      <c r="M30" s="48" t="s">
        <v>1</v>
      </c>
      <c r="N30" s="48" t="s">
        <v>2</v>
      </c>
      <c r="P30" s="48" t="s">
        <v>0</v>
      </c>
      <c r="Q30" s="48" t="s">
        <v>3</v>
      </c>
      <c r="R30" s="48" t="s">
        <v>1</v>
      </c>
      <c r="S30" s="48" t="s">
        <v>2</v>
      </c>
    </row>
    <row r="31" spans="1:29" ht="15.5" x14ac:dyDescent="0.35">
      <c r="K31" s="4">
        <v>0</v>
      </c>
      <c r="L31" s="44">
        <v>6.7786825999999994E-2</v>
      </c>
      <c r="M31" s="44">
        <v>1.5243902439024399E-3</v>
      </c>
      <c r="N31" s="4">
        <v>24</v>
      </c>
      <c r="O31" s="43"/>
      <c r="P31" s="4">
        <v>0</v>
      </c>
      <c r="Q31" s="44">
        <v>6.5972599000000007E-2</v>
      </c>
      <c r="R31" s="44">
        <v>0</v>
      </c>
      <c r="S31" s="4">
        <v>24</v>
      </c>
    </row>
    <row r="32" spans="1:29" ht="15.5" x14ac:dyDescent="0.35">
      <c r="K32" s="4">
        <v>1</v>
      </c>
      <c r="L32" s="44">
        <v>5.7618801999999997E-2</v>
      </c>
      <c r="M32" s="44">
        <v>1.5243902439024399E-3</v>
      </c>
      <c r="N32" s="4"/>
      <c r="O32" s="43"/>
      <c r="P32" s="4">
        <v>1</v>
      </c>
      <c r="Q32" s="44">
        <v>3.6651443999999998E-2</v>
      </c>
      <c r="R32" s="44">
        <v>2.1052631578947398E-3</v>
      </c>
      <c r="S32" s="4"/>
    </row>
    <row r="33" spans="11:19" ht="15.5" x14ac:dyDescent="0.35">
      <c r="K33" s="4">
        <v>2</v>
      </c>
      <c r="L33" s="44">
        <v>4.4061437000000002E-2</v>
      </c>
      <c r="M33" s="44">
        <v>7.6219512195121997E-4</v>
      </c>
      <c r="N33" s="4"/>
      <c r="O33" s="43"/>
      <c r="P33" s="4">
        <v>2</v>
      </c>
      <c r="Q33" s="44">
        <v>2.9321155000000002E-2</v>
      </c>
      <c r="R33" s="44">
        <v>0</v>
      </c>
      <c r="S33" s="4"/>
    </row>
    <row r="34" spans="11:19" ht="15.5" x14ac:dyDescent="0.35">
      <c r="K34" s="4">
        <v>3</v>
      </c>
      <c r="L34" s="44">
        <v>5.0840120000000003E-2</v>
      </c>
      <c r="M34" s="44">
        <v>0</v>
      </c>
      <c r="N34" s="4"/>
      <c r="O34" s="43"/>
      <c r="P34" s="4">
        <v>3</v>
      </c>
      <c r="Q34" s="44">
        <v>4.3981733000000002E-2</v>
      </c>
      <c r="R34" s="44">
        <v>0</v>
      </c>
      <c r="S34" s="4"/>
    </row>
    <row r="35" spans="11:19" ht="15.5" x14ac:dyDescent="0.35">
      <c r="K35" s="4">
        <v>4</v>
      </c>
      <c r="L35" s="44">
        <v>4.4061437000000002E-2</v>
      </c>
      <c r="M35" s="44">
        <v>7.6219512195121997E-4</v>
      </c>
      <c r="N35" s="4"/>
      <c r="O35" s="43"/>
      <c r="P35" s="4">
        <v>4</v>
      </c>
      <c r="Q35" s="44">
        <v>7.3302890000000002E-3</v>
      </c>
      <c r="R35" s="44">
        <v>0</v>
      </c>
      <c r="S35" s="4"/>
    </row>
    <row r="36" spans="11:19" ht="15.5" x14ac:dyDescent="0.35">
      <c r="K36" s="4">
        <v>5</v>
      </c>
      <c r="L36" s="44">
        <v>3.7282754000000001E-2</v>
      </c>
      <c r="M36" s="44">
        <v>0</v>
      </c>
      <c r="N36" s="4"/>
      <c r="O36" s="43"/>
      <c r="P36" s="4">
        <v>5</v>
      </c>
      <c r="Q36" s="44">
        <v>2.1990866000000001E-2</v>
      </c>
      <c r="R36" s="44">
        <v>0</v>
      </c>
      <c r="S36" s="4"/>
    </row>
    <row r="37" spans="11:19" ht="15.5" x14ac:dyDescent="0.35">
      <c r="K37" s="4">
        <v>6</v>
      </c>
      <c r="L37" s="44">
        <v>4.4061437000000002E-2</v>
      </c>
      <c r="M37" s="44">
        <v>7.6219512195121997E-4</v>
      </c>
      <c r="N37" s="4"/>
      <c r="O37" s="43"/>
      <c r="P37" s="4">
        <v>6</v>
      </c>
      <c r="Q37" s="44">
        <v>3.6651443999999998E-2</v>
      </c>
      <c r="R37" s="44">
        <v>0</v>
      </c>
      <c r="S37" s="4"/>
    </row>
    <row r="38" spans="11:19" ht="15.5" x14ac:dyDescent="0.35">
      <c r="K38" s="4">
        <v>7</v>
      </c>
      <c r="L38" s="44">
        <v>0.149131018</v>
      </c>
      <c r="M38" s="44">
        <v>7.6219512195121997E-4</v>
      </c>
      <c r="N38" s="4"/>
      <c r="O38" s="43"/>
      <c r="P38" s="4">
        <v>7</v>
      </c>
      <c r="Q38" s="44">
        <v>8.7963465000000005E-2</v>
      </c>
      <c r="R38" s="44">
        <v>2.1052631578947398E-3</v>
      </c>
      <c r="S38" s="4"/>
    </row>
    <row r="39" spans="11:19" ht="15.5" x14ac:dyDescent="0.35">
      <c r="K39" s="4">
        <v>8</v>
      </c>
      <c r="L39" s="44">
        <v>0.20674982</v>
      </c>
      <c r="M39" s="44">
        <v>1.5243902439024399E-3</v>
      </c>
      <c r="N39" s="4"/>
      <c r="O39" s="43"/>
      <c r="P39" s="4">
        <v>8</v>
      </c>
      <c r="Q39" s="44">
        <v>0.24922981799999999</v>
      </c>
      <c r="R39" s="44">
        <v>0</v>
      </c>
      <c r="S39" s="4"/>
    </row>
    <row r="40" spans="11:19" ht="15.5" x14ac:dyDescent="0.35">
      <c r="K40" s="4">
        <v>9</v>
      </c>
      <c r="L40" s="44">
        <v>0.36265952099999998</v>
      </c>
      <c r="M40" s="44">
        <v>4.5731707317073203E-3</v>
      </c>
      <c r="N40" s="4"/>
      <c r="O40" s="43"/>
      <c r="P40" s="4">
        <v>9</v>
      </c>
      <c r="Q40" s="44">
        <v>0.22723895199999999</v>
      </c>
      <c r="R40" s="44">
        <v>2.1052631578947398E-3</v>
      </c>
      <c r="S40" s="4"/>
    </row>
    <row r="41" spans="11:19" ht="15.5" x14ac:dyDescent="0.35">
      <c r="K41" s="4">
        <v>10</v>
      </c>
      <c r="L41" s="44">
        <v>0.44400371199999999</v>
      </c>
      <c r="M41" s="44">
        <v>1.1432926829268299E-2</v>
      </c>
      <c r="N41" s="4"/>
      <c r="O41" s="43"/>
      <c r="P41" s="4">
        <v>10</v>
      </c>
      <c r="Q41" s="44">
        <v>0.24922981799999999</v>
      </c>
      <c r="R41" s="44">
        <v>3.3684210526315803E-2</v>
      </c>
      <c r="S41" s="4"/>
    </row>
    <row r="42" spans="11:19" ht="15.5" x14ac:dyDescent="0.35">
      <c r="K42" s="4">
        <v>11</v>
      </c>
      <c r="L42" s="44">
        <v>0.36265952099999998</v>
      </c>
      <c r="M42" s="44">
        <v>1.6768292682926799E-2</v>
      </c>
      <c r="N42" s="4"/>
      <c r="O42" s="43"/>
      <c r="P42" s="4">
        <v>11</v>
      </c>
      <c r="Q42" s="44">
        <v>0.30787212800000002</v>
      </c>
      <c r="R42" s="44">
        <v>4.8421052631578899E-2</v>
      </c>
      <c r="S42" s="4"/>
    </row>
    <row r="43" spans="11:19" ht="15.5" x14ac:dyDescent="0.35">
      <c r="K43" s="4">
        <v>12</v>
      </c>
      <c r="L43" s="44">
        <v>0.450782395</v>
      </c>
      <c r="M43" s="44">
        <v>3.9634146341463401E-2</v>
      </c>
      <c r="N43" s="4"/>
      <c r="O43" s="43"/>
      <c r="P43" s="4">
        <v>12</v>
      </c>
      <c r="Q43" s="44">
        <v>0.19058750799999999</v>
      </c>
      <c r="R43" s="44">
        <v>0.08</v>
      </c>
      <c r="S43" s="4"/>
    </row>
    <row r="44" spans="11:19" ht="15.5" x14ac:dyDescent="0.35">
      <c r="K44" s="4">
        <v>13</v>
      </c>
      <c r="L44" s="44">
        <v>0.43044634700000001</v>
      </c>
      <c r="M44" s="44">
        <v>0.113567073170732</v>
      </c>
      <c r="N44" s="4"/>
      <c r="O44" s="43"/>
      <c r="P44" s="4">
        <v>13</v>
      </c>
      <c r="Q44" s="44">
        <v>0.241899529</v>
      </c>
      <c r="R44" s="44">
        <v>0.17894736842105299</v>
      </c>
      <c r="S44" s="4"/>
    </row>
    <row r="45" spans="11:19" ht="15.5" x14ac:dyDescent="0.35">
      <c r="K45" s="4">
        <v>14</v>
      </c>
      <c r="L45" s="44">
        <v>0.47789712499999998</v>
      </c>
      <c r="M45" s="44">
        <v>0.15320121951219501</v>
      </c>
      <c r="N45" s="4"/>
      <c r="O45" s="43"/>
      <c r="P45" s="4">
        <v>14</v>
      </c>
      <c r="Q45" s="44">
        <v>0.22723895199999999</v>
      </c>
      <c r="R45" s="44">
        <v>0.18526315789473699</v>
      </c>
      <c r="S45" s="4"/>
    </row>
    <row r="46" spans="11:19" ht="15.5" x14ac:dyDescent="0.35">
      <c r="K46" s="4">
        <v>15</v>
      </c>
      <c r="L46" s="44">
        <v>0.45417173599999999</v>
      </c>
      <c r="M46" s="44">
        <v>0.15320121951219501</v>
      </c>
      <c r="N46" s="4"/>
      <c r="O46" s="43"/>
      <c r="P46" s="4">
        <v>15</v>
      </c>
      <c r="Q46" s="44">
        <v>0.22723895199999999</v>
      </c>
      <c r="R46" s="44">
        <v>0.164210526315789</v>
      </c>
      <c r="S46" s="4"/>
    </row>
    <row r="47" spans="11:19" ht="15.5" x14ac:dyDescent="0.35">
      <c r="K47" s="4">
        <v>16</v>
      </c>
      <c r="L47" s="44">
        <v>0.48806514899999998</v>
      </c>
      <c r="M47" s="44">
        <v>0.135670731707317</v>
      </c>
      <c r="N47" s="4"/>
      <c r="O47" s="43"/>
      <c r="P47" s="4">
        <v>16</v>
      </c>
      <c r="Q47" s="44">
        <v>0.23456924100000001</v>
      </c>
      <c r="R47" s="44">
        <v>9.4736842105263203E-2</v>
      </c>
      <c r="S47" s="4"/>
    </row>
    <row r="48" spans="11:19" ht="15.5" x14ac:dyDescent="0.35">
      <c r="K48" s="4">
        <v>17</v>
      </c>
      <c r="L48" s="44">
        <v>0.440614371</v>
      </c>
      <c r="M48" s="44">
        <v>0.134908536585366</v>
      </c>
      <c r="N48" s="4"/>
      <c r="O48" s="43"/>
      <c r="P48" s="4">
        <v>17</v>
      </c>
      <c r="Q48" s="44">
        <v>0.19791779700000001</v>
      </c>
      <c r="R48" s="44">
        <v>8.84210526315789E-2</v>
      </c>
      <c r="S48" s="4"/>
    </row>
    <row r="49" spans="11:19" ht="15.5" x14ac:dyDescent="0.35">
      <c r="K49" s="4">
        <v>18</v>
      </c>
      <c r="L49" s="44">
        <v>0.37282754499999998</v>
      </c>
      <c r="M49" s="44">
        <v>0.104420731707317</v>
      </c>
      <c r="N49" s="4"/>
      <c r="O49" s="43"/>
      <c r="P49" s="4">
        <v>18</v>
      </c>
      <c r="Q49" s="44">
        <v>0.21257837399999999</v>
      </c>
      <c r="R49" s="44">
        <v>6.5263157894736801E-2</v>
      </c>
      <c r="S49" s="4"/>
    </row>
    <row r="50" spans="11:19" ht="15.5" x14ac:dyDescent="0.35">
      <c r="K50" s="4">
        <v>19</v>
      </c>
      <c r="L50" s="44">
        <v>0.21013916199999999</v>
      </c>
      <c r="M50" s="44">
        <v>7.1646341463414601E-2</v>
      </c>
      <c r="N50" s="4"/>
      <c r="O50" s="43"/>
      <c r="P50" s="4">
        <v>19</v>
      </c>
      <c r="Q50" s="44">
        <v>0.11728462000000001</v>
      </c>
      <c r="R50" s="44">
        <v>2.9473684210526301E-2</v>
      </c>
      <c r="S50" s="4"/>
    </row>
    <row r="51" spans="11:19" ht="15.5" x14ac:dyDescent="0.35">
      <c r="K51" s="4">
        <v>20</v>
      </c>
      <c r="L51" s="44">
        <v>0.11523760500000001</v>
      </c>
      <c r="M51" s="44">
        <v>3.8109756097561003E-2</v>
      </c>
      <c r="N51" s="4"/>
      <c r="O51" s="43"/>
      <c r="P51" s="4">
        <v>20</v>
      </c>
      <c r="Q51" s="44">
        <v>6.5972599000000007E-2</v>
      </c>
      <c r="R51" s="44">
        <v>1.4736842105263199E-2</v>
      </c>
      <c r="S51" s="4"/>
    </row>
    <row r="52" spans="11:19" ht="15.5" x14ac:dyDescent="0.35">
      <c r="K52" s="4">
        <v>21</v>
      </c>
      <c r="L52" s="44">
        <v>9.4901556999999997E-2</v>
      </c>
      <c r="M52" s="44">
        <v>1.21951219512195E-2</v>
      </c>
      <c r="N52" s="4"/>
      <c r="O52" s="43"/>
      <c r="P52" s="4">
        <v>21</v>
      </c>
      <c r="Q52" s="44">
        <v>8.0633176000000001E-2</v>
      </c>
      <c r="R52" s="44">
        <v>8.4210526315789506E-3</v>
      </c>
      <c r="S52" s="4"/>
    </row>
    <row r="53" spans="11:19" ht="15.5" x14ac:dyDescent="0.35">
      <c r="K53" s="4">
        <v>22</v>
      </c>
      <c r="L53" s="44">
        <v>4.7450777999999999E-2</v>
      </c>
      <c r="M53" s="44">
        <v>3.0487804878048799E-3</v>
      </c>
      <c r="N53" s="4"/>
      <c r="O53" s="43"/>
      <c r="P53" s="4">
        <v>22</v>
      </c>
      <c r="Q53" s="44">
        <v>8.7963465000000005E-2</v>
      </c>
      <c r="R53" s="44">
        <v>2.1052631578947398E-3</v>
      </c>
      <c r="S53" s="4"/>
    </row>
    <row r="54" spans="11:19" ht="15.5" x14ac:dyDescent="0.35">
      <c r="K54" s="4">
        <v>23</v>
      </c>
      <c r="L54" s="44">
        <v>8.1344191999999996E-2</v>
      </c>
      <c r="M54" s="44">
        <v>0</v>
      </c>
      <c r="N54" s="4"/>
      <c r="O54" s="43"/>
      <c r="P54" s="4">
        <v>23</v>
      </c>
      <c r="Q54" s="44">
        <v>5.1312020999999999E-2</v>
      </c>
      <c r="R54" s="44">
        <v>0</v>
      </c>
      <c r="S54" s="4"/>
    </row>
  </sheetData>
  <mergeCells count="8">
    <mergeCell ref="K29:N29"/>
    <mergeCell ref="P29:S29"/>
    <mergeCell ref="Z1:AC1"/>
    <mergeCell ref="A1:D1"/>
    <mergeCell ref="K1:N1"/>
    <mergeCell ref="U1:X1"/>
    <mergeCell ref="F1:I1"/>
    <mergeCell ref="P1:S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I152"/>
  <sheetViews>
    <sheetView topLeftCell="O16" zoomScaleNormal="100" workbookViewId="0">
      <selection activeCell="U34" sqref="U34"/>
    </sheetView>
  </sheetViews>
  <sheetFormatPr defaultRowHeight="14.5" x14ac:dyDescent="0.35"/>
  <cols>
    <col min="1" max="1" width="24.7265625" bestFit="1" customWidth="1"/>
    <col min="2" max="2" width="13.81640625" bestFit="1" customWidth="1"/>
    <col min="3" max="3" width="11.81640625" bestFit="1" customWidth="1"/>
    <col min="4" max="4" width="17.7265625" bestFit="1" customWidth="1"/>
    <col min="5" max="5" width="11.81640625" bestFit="1" customWidth="1"/>
    <col min="6" max="7" width="13.81640625" bestFit="1" customWidth="1"/>
    <col min="8" max="8" width="11.81640625" bestFit="1" customWidth="1"/>
    <col min="10" max="10" width="27" bestFit="1" customWidth="1"/>
    <col min="11" max="11" width="13.81640625" bestFit="1" customWidth="1"/>
    <col min="12" max="12" width="11.81640625" bestFit="1" customWidth="1"/>
    <col min="13" max="13" width="17.7265625" bestFit="1" customWidth="1"/>
    <col min="14" max="14" width="11.81640625" bestFit="1" customWidth="1"/>
    <col min="15" max="16" width="13.81640625" bestFit="1" customWidth="1"/>
    <col min="19" max="19" width="22.6328125" bestFit="1" customWidth="1"/>
    <col min="20" max="20" width="13.81640625" bestFit="1" customWidth="1"/>
    <col min="21" max="21" width="11.81640625" bestFit="1" customWidth="1"/>
    <col min="22" max="22" width="17.7265625" bestFit="1" customWidth="1"/>
    <col min="23" max="23" width="11.81640625" bestFit="1" customWidth="1"/>
    <col min="24" max="25" width="13.81640625" bestFit="1" customWidth="1"/>
    <col min="26" max="26" width="11.81640625" bestFit="1" customWidth="1"/>
    <col min="28" max="28" width="20.6328125" bestFit="1" customWidth="1"/>
    <col min="29" max="29" width="13.81640625" bestFit="1" customWidth="1"/>
    <col min="30" max="30" width="11.81640625" bestFit="1" customWidth="1"/>
    <col min="31" max="31" width="17.7265625" bestFit="1" customWidth="1"/>
    <col min="32" max="32" width="11.81640625" bestFit="1" customWidth="1"/>
    <col min="33" max="34" width="13.81640625" bestFit="1" customWidth="1"/>
    <col min="35" max="35" width="11.81640625" bestFit="1" customWidth="1"/>
  </cols>
  <sheetData>
    <row r="1" spans="1:35" x14ac:dyDescent="0.35">
      <c r="A1" s="9" t="s">
        <v>37</v>
      </c>
      <c r="B1" s="9" t="s">
        <v>6</v>
      </c>
      <c r="C1" s="9" t="s">
        <v>13</v>
      </c>
      <c r="D1" s="9" t="s">
        <v>14</v>
      </c>
      <c r="E1" s="9" t="s">
        <v>15</v>
      </c>
      <c r="F1" s="9" t="s">
        <v>16</v>
      </c>
      <c r="G1" s="9" t="s">
        <v>17</v>
      </c>
      <c r="H1" s="9" t="s">
        <v>39</v>
      </c>
      <c r="J1" t="s">
        <v>34</v>
      </c>
      <c r="K1" t="s">
        <v>6</v>
      </c>
      <c r="L1" t="s">
        <v>13</v>
      </c>
      <c r="M1" t="s">
        <v>14</v>
      </c>
      <c r="N1" t="s">
        <v>15</v>
      </c>
      <c r="O1" t="s">
        <v>16</v>
      </c>
      <c r="P1" t="s">
        <v>17</v>
      </c>
      <c r="S1" t="s">
        <v>35</v>
      </c>
      <c r="T1" t="s">
        <v>6</v>
      </c>
      <c r="U1" t="s">
        <v>13</v>
      </c>
      <c r="V1" t="s">
        <v>14</v>
      </c>
      <c r="W1" t="s">
        <v>15</v>
      </c>
      <c r="X1" t="s">
        <v>16</v>
      </c>
      <c r="Y1" t="s">
        <v>17</v>
      </c>
      <c r="Z1" t="s">
        <v>39</v>
      </c>
      <c r="AB1" t="s">
        <v>36</v>
      </c>
      <c r="AC1" t="s">
        <v>6</v>
      </c>
      <c r="AD1" t="s">
        <v>13</v>
      </c>
      <c r="AE1" t="s">
        <v>14</v>
      </c>
      <c r="AF1" t="s">
        <v>15</v>
      </c>
      <c r="AG1" t="s">
        <v>16</v>
      </c>
      <c r="AH1" t="s">
        <v>17</v>
      </c>
      <c r="AI1" t="s">
        <v>39</v>
      </c>
    </row>
    <row r="2" spans="1:35" x14ac:dyDescent="0.35">
      <c r="A2" s="9"/>
      <c r="B2" s="9">
        <v>1</v>
      </c>
      <c r="C2" s="9">
        <v>369.89109655451</v>
      </c>
      <c r="D2" s="9">
        <v>652.219502770703</v>
      </c>
      <c r="E2" s="9">
        <v>0.62188582918449797</v>
      </c>
      <c r="F2" s="9">
        <v>0.56171079163769799</v>
      </c>
      <c r="G2" s="9">
        <v>0.51707953982612298</v>
      </c>
      <c r="H2" s="9">
        <v>443.659953637049</v>
      </c>
      <c r="K2" s="49">
        <v>1</v>
      </c>
      <c r="L2">
        <v>22726.713989882999</v>
      </c>
      <c r="M2">
        <v>23151.062948322498</v>
      </c>
      <c r="N2">
        <v>0.97409314341138398</v>
      </c>
      <c r="O2">
        <v>0.97205334754447803</v>
      </c>
      <c r="P2">
        <v>0.97018937767565905</v>
      </c>
      <c r="T2">
        <v>1</v>
      </c>
      <c r="U2">
        <v>401.23331085182798</v>
      </c>
      <c r="V2">
        <v>585.50375453792901</v>
      </c>
      <c r="W2">
        <v>0.57597568478697903</v>
      </c>
      <c r="X2">
        <v>0.54506433415556299</v>
      </c>
      <c r="Y2">
        <v>0.50614548388498803</v>
      </c>
      <c r="Z2">
        <v>488.745007973295</v>
      </c>
      <c r="AC2" s="49">
        <v>1</v>
      </c>
      <c r="AD2">
        <v>552.49990863428695</v>
      </c>
      <c r="AE2">
        <v>848.53107316460398</v>
      </c>
      <c r="AF2">
        <v>0.74600081545673103</v>
      </c>
      <c r="AG2">
        <v>0.711866581829668</v>
      </c>
      <c r="AH2">
        <v>0.67721255717456297</v>
      </c>
      <c r="AI2">
        <v>617.53787392197603</v>
      </c>
    </row>
    <row r="3" spans="1:35" x14ac:dyDescent="0.35">
      <c r="A3" s="9"/>
      <c r="B3" s="9">
        <v>0.999</v>
      </c>
      <c r="C3" s="9">
        <v>364.28382022874598</v>
      </c>
      <c r="D3" s="9">
        <v>647.69417900991402</v>
      </c>
      <c r="E3" s="9">
        <v>0.61965091935502303</v>
      </c>
      <c r="F3" s="9">
        <v>0.55967837809705701</v>
      </c>
      <c r="G3" s="9">
        <v>0.51406843363374199</v>
      </c>
      <c r="H3" s="9">
        <v>438.82722803463901</v>
      </c>
      <c r="K3" s="49">
        <v>0.995</v>
      </c>
      <c r="L3">
        <v>19403.687125107401</v>
      </c>
      <c r="M3">
        <v>19809.341641143099</v>
      </c>
      <c r="N3">
        <v>0.94889765125137404</v>
      </c>
      <c r="O3">
        <v>0.94500865203858297</v>
      </c>
      <c r="P3">
        <v>0.94136186579221004</v>
      </c>
      <c r="T3">
        <v>0.995</v>
      </c>
      <c r="U3">
        <v>391.33545048653701</v>
      </c>
      <c r="V3">
        <v>571.76913286794695</v>
      </c>
      <c r="W3">
        <v>0.56665546161985703</v>
      </c>
      <c r="X3">
        <v>0.53531651788118495</v>
      </c>
      <c r="Y3">
        <v>0.496152459433923</v>
      </c>
      <c r="Z3">
        <v>478.47372048531099</v>
      </c>
      <c r="AC3" s="49">
        <v>0.995</v>
      </c>
      <c r="AD3">
        <v>540.48148880359497</v>
      </c>
      <c r="AE3">
        <v>835.20110356644</v>
      </c>
      <c r="AF3">
        <v>0.73787608765124901</v>
      </c>
      <c r="AG3">
        <v>0.70312248368969898</v>
      </c>
      <c r="AH3">
        <v>0.66777578698838203</v>
      </c>
      <c r="AI3">
        <v>605.84644655689999</v>
      </c>
    </row>
    <row r="4" spans="1:35" x14ac:dyDescent="0.35">
      <c r="A4" s="9"/>
      <c r="B4" s="9">
        <v>0.998</v>
      </c>
      <c r="C4" s="9">
        <v>358.70055124484202</v>
      </c>
      <c r="D4" s="9">
        <v>643.09442567397298</v>
      </c>
      <c r="E4" s="9">
        <v>0.61731805956350905</v>
      </c>
      <c r="F4" s="9">
        <v>0.557528380520527</v>
      </c>
      <c r="G4" s="9">
        <v>0.51096106009491604</v>
      </c>
      <c r="H4" s="9">
        <v>433.961438714542</v>
      </c>
      <c r="K4" s="49">
        <v>0.99</v>
      </c>
      <c r="L4">
        <v>16080.660260331801</v>
      </c>
      <c r="M4">
        <v>16467.620333963601</v>
      </c>
      <c r="N4">
        <v>0.92370215909136399</v>
      </c>
      <c r="O4">
        <v>0.91796395653268703</v>
      </c>
      <c r="P4">
        <v>0.91253435390876003</v>
      </c>
      <c r="T4">
        <v>0.99</v>
      </c>
      <c r="U4">
        <v>381.43759012124599</v>
      </c>
      <c r="V4">
        <v>558.034511197965</v>
      </c>
      <c r="W4">
        <v>0.55733523845273503</v>
      </c>
      <c r="X4">
        <v>0.52556870160680802</v>
      </c>
      <c r="Y4">
        <v>0.48615943498285902</v>
      </c>
      <c r="Z4">
        <v>468.20243299732698</v>
      </c>
      <c r="AC4" s="49">
        <v>0.99</v>
      </c>
      <c r="AD4">
        <v>523.74103817945604</v>
      </c>
      <c r="AE4">
        <v>816.557549376157</v>
      </c>
      <c r="AF4">
        <v>0.72567554164295101</v>
      </c>
      <c r="AG4">
        <v>0.69010884134954997</v>
      </c>
      <c r="AH4">
        <v>0.65408256642562601</v>
      </c>
      <c r="AI4">
        <v>588.90033054957905</v>
      </c>
    </row>
    <row r="5" spans="1:35" x14ac:dyDescent="0.35">
      <c r="A5" s="9"/>
      <c r="B5" s="9">
        <v>0.997</v>
      </c>
      <c r="C5" s="9">
        <v>353.14111514686499</v>
      </c>
      <c r="D5" s="9">
        <v>638.41883782238597</v>
      </c>
      <c r="E5" s="9">
        <v>0.61488639023570602</v>
      </c>
      <c r="F5" s="9">
        <v>0.55526004086954395</v>
      </c>
      <c r="G5" s="9">
        <v>0.50775715500512997</v>
      </c>
      <c r="H5" s="9">
        <v>429.06225628387</v>
      </c>
      <c r="K5" s="49">
        <v>0.98499999999999999</v>
      </c>
      <c r="L5">
        <v>12757.6333955562</v>
      </c>
      <c r="M5">
        <v>13125.8990267841</v>
      </c>
      <c r="N5">
        <v>0.89850666693135395</v>
      </c>
      <c r="O5">
        <v>0.89091926102679198</v>
      </c>
      <c r="P5">
        <v>0.88370684202531002</v>
      </c>
      <c r="T5">
        <v>0.98499999999999999</v>
      </c>
      <c r="U5">
        <v>371.53972975595599</v>
      </c>
      <c r="V5">
        <v>544.29988952798305</v>
      </c>
      <c r="W5">
        <v>0.54801501528561303</v>
      </c>
      <c r="X5">
        <v>0.51582088533243098</v>
      </c>
      <c r="Y5">
        <v>0.47616641053179398</v>
      </c>
      <c r="Z5">
        <v>457.93114550934399</v>
      </c>
      <c r="AC5" s="49">
        <v>0.98499999999999999</v>
      </c>
      <c r="AD5">
        <v>507.000587555317</v>
      </c>
      <c r="AE5">
        <v>797.91399518587298</v>
      </c>
      <c r="AF5">
        <v>0.713474995634654</v>
      </c>
      <c r="AG5">
        <v>0.67709519900940096</v>
      </c>
      <c r="AH5">
        <v>0.64038934586287</v>
      </c>
      <c r="AI5">
        <v>571.954214542258</v>
      </c>
    </row>
    <row r="6" spans="1:35" x14ac:dyDescent="0.35">
      <c r="A6" s="9"/>
      <c r="B6" s="9">
        <v>0.996</v>
      </c>
      <c r="C6" s="9">
        <v>347.60534628708501</v>
      </c>
      <c r="D6" s="9">
        <v>633.66594986722203</v>
      </c>
      <c r="E6" s="9">
        <v>0.61235501109076895</v>
      </c>
      <c r="F6" s="9">
        <v>0.55287257173629401</v>
      </c>
      <c r="G6" s="9">
        <v>0.50445645856535903</v>
      </c>
      <c r="H6" s="9">
        <v>424.12935645331203</v>
      </c>
      <c r="J6">
        <v>0.98</v>
      </c>
      <c r="K6" s="49">
        <v>0.98</v>
      </c>
      <c r="L6">
        <v>9434.6065307805602</v>
      </c>
      <c r="M6">
        <v>9784.1777196046805</v>
      </c>
      <c r="N6">
        <v>0.87331117477134401</v>
      </c>
      <c r="O6">
        <v>0.86387456552089603</v>
      </c>
      <c r="P6">
        <v>0.85487933014186102</v>
      </c>
      <c r="S6">
        <v>0.98</v>
      </c>
      <c r="T6">
        <v>0.98</v>
      </c>
      <c r="U6">
        <v>361.64186939066502</v>
      </c>
      <c r="V6">
        <v>530.56526785800099</v>
      </c>
      <c r="W6">
        <v>0.53869479211849103</v>
      </c>
      <c r="X6">
        <v>0.50607306905805305</v>
      </c>
      <c r="Y6">
        <v>0.466173386080729</v>
      </c>
      <c r="Z6">
        <v>447.65985802135998</v>
      </c>
      <c r="AB6">
        <v>0.98</v>
      </c>
      <c r="AC6" s="49">
        <v>0.98</v>
      </c>
      <c r="AD6">
        <v>490.26013693117898</v>
      </c>
      <c r="AE6">
        <v>779.27044099558998</v>
      </c>
      <c r="AF6">
        <v>0.70127444962635599</v>
      </c>
      <c r="AG6">
        <v>0.66408155666925195</v>
      </c>
      <c r="AH6">
        <v>0.62669612530011498</v>
      </c>
      <c r="AI6">
        <v>555.00809853493604</v>
      </c>
    </row>
    <row r="7" spans="1:35" x14ac:dyDescent="0.35">
      <c r="A7" s="9"/>
      <c r="B7" s="9">
        <v>0.995</v>
      </c>
      <c r="C7" s="9">
        <v>342.09309040299797</v>
      </c>
      <c r="D7" s="9">
        <v>628.83423438222098</v>
      </c>
      <c r="E7" s="9">
        <v>0.60972297972169898</v>
      </c>
      <c r="F7" s="9">
        <v>0.55036515646810202</v>
      </c>
      <c r="G7" s="9">
        <v>0.50105871784188805</v>
      </c>
      <c r="H7" s="9">
        <v>419.16242298348402</v>
      </c>
      <c r="K7" s="49">
        <v>0.97499999999999998</v>
      </c>
      <c r="L7">
        <v>6111.57966600494</v>
      </c>
      <c r="M7">
        <v>6442.4564124252202</v>
      </c>
      <c r="N7">
        <v>0.84811568261133397</v>
      </c>
      <c r="O7">
        <v>0.83682987001500098</v>
      </c>
      <c r="P7">
        <v>0.82605181825841101</v>
      </c>
      <c r="T7">
        <v>0.97499999999999998</v>
      </c>
      <c r="U7">
        <v>351.744009025374</v>
      </c>
      <c r="V7">
        <v>516.83064618801905</v>
      </c>
      <c r="W7">
        <v>0.52937456895136903</v>
      </c>
      <c r="X7">
        <v>0.49632525278367601</v>
      </c>
      <c r="Y7">
        <v>0.45618036162966502</v>
      </c>
      <c r="Z7">
        <v>437.38857053337603</v>
      </c>
      <c r="AC7" s="49">
        <v>0.97499999999999998</v>
      </c>
      <c r="AD7">
        <v>473.51968630703999</v>
      </c>
      <c r="AE7">
        <v>760.62688680530596</v>
      </c>
      <c r="AF7">
        <v>0.68907390361805798</v>
      </c>
      <c r="AG7">
        <v>0.65106791432910205</v>
      </c>
      <c r="AH7">
        <v>0.61300290473735897</v>
      </c>
      <c r="AI7">
        <v>538.06198252761499</v>
      </c>
    </row>
    <row r="8" spans="1:35" x14ac:dyDescent="0.35">
      <c r="A8" s="9"/>
      <c r="B8" s="9">
        <v>0.99399999999999999</v>
      </c>
      <c r="C8" s="9">
        <v>336.60420764751802</v>
      </c>
      <c r="D8" s="9">
        <v>623.92210134039999</v>
      </c>
      <c r="E8" s="9">
        <v>0.606989310316013</v>
      </c>
      <c r="F8" s="9">
        <v>0.54773694967982001</v>
      </c>
      <c r="G8" s="9">
        <v>0.497563689711993</v>
      </c>
      <c r="H8" s="9">
        <v>414.16115120735702</v>
      </c>
      <c r="K8" s="49">
        <v>0.97</v>
      </c>
      <c r="L8">
        <v>3888.3797047099301</v>
      </c>
      <c r="M8">
        <v>4205.7613591756999</v>
      </c>
      <c r="N8">
        <v>0.82202007509130703</v>
      </c>
      <c r="O8">
        <v>0.80884328963540297</v>
      </c>
      <c r="P8">
        <v>0.79611951346604404</v>
      </c>
      <c r="T8">
        <v>0.97</v>
      </c>
      <c r="U8">
        <v>341.846148660084</v>
      </c>
      <c r="V8">
        <v>503.09602451803698</v>
      </c>
      <c r="W8">
        <v>0.52005434578424703</v>
      </c>
      <c r="X8">
        <v>0.48657743650929902</v>
      </c>
      <c r="Y8">
        <v>0.44618733717859999</v>
      </c>
      <c r="Z8">
        <v>427.11728304539201</v>
      </c>
      <c r="AC8" s="49">
        <v>0.97</v>
      </c>
      <c r="AD8">
        <v>456.779235682901</v>
      </c>
      <c r="AE8">
        <v>741.98333261502205</v>
      </c>
      <c r="AF8">
        <v>0.67687335760975997</v>
      </c>
      <c r="AG8">
        <v>0.63805427198895304</v>
      </c>
      <c r="AH8">
        <v>0.59930968417460295</v>
      </c>
      <c r="AI8">
        <v>521.11586652029405</v>
      </c>
    </row>
    <row r="9" spans="1:35" x14ac:dyDescent="0.35">
      <c r="A9" s="9"/>
      <c r="B9" s="9">
        <v>0.99299999999999999</v>
      </c>
      <c r="C9" s="9">
        <v>331.138576146932</v>
      </c>
      <c r="D9" s="9">
        <v>618.92789791851396</v>
      </c>
      <c r="E9" s="9">
        <v>0.60415297257873102</v>
      </c>
      <c r="F9" s="9">
        <v>0.54498707826152504</v>
      </c>
      <c r="G9" s="9">
        <v>0.49397114438260598</v>
      </c>
      <c r="H9" s="9">
        <v>409.12525223036999</v>
      </c>
      <c r="K9" s="49">
        <v>0.96499999999999997</v>
      </c>
      <c r="L9">
        <v>3391.2184706655498</v>
      </c>
      <c r="M9">
        <v>3703.26475376898</v>
      </c>
      <c r="N9">
        <v>0.79451185076270303</v>
      </c>
      <c r="O9">
        <v>0.77937854049718003</v>
      </c>
      <c r="P9">
        <v>0.76445337643121403</v>
      </c>
      <c r="T9">
        <v>0.96499999999999997</v>
      </c>
      <c r="U9">
        <v>333.24742899504798</v>
      </c>
      <c r="V9">
        <v>491.09215104518103</v>
      </c>
      <c r="W9">
        <v>0.51124019814960298</v>
      </c>
      <c r="X9">
        <v>0.477567243451954</v>
      </c>
      <c r="Y9">
        <v>0.43732775701300902</v>
      </c>
      <c r="Z9">
        <v>417.80120854429902</v>
      </c>
      <c r="AC9" s="49">
        <v>0.96499999999999997</v>
      </c>
      <c r="AD9">
        <v>440.03878505876298</v>
      </c>
      <c r="AE9">
        <v>723.33977842473905</v>
      </c>
      <c r="AF9">
        <v>0.66467281160146297</v>
      </c>
      <c r="AG9">
        <v>0.62504062964880402</v>
      </c>
      <c r="AH9">
        <v>0.58561646361184705</v>
      </c>
      <c r="AI9">
        <v>504.169750512973</v>
      </c>
    </row>
    <row r="10" spans="1:35" x14ac:dyDescent="0.35">
      <c r="A10" s="9"/>
      <c r="B10" s="9">
        <v>0.99199999999999999</v>
      </c>
      <c r="C10" s="9">
        <v>325.69609617292201</v>
      </c>
      <c r="D10" s="9">
        <v>613.84990904027597</v>
      </c>
      <c r="E10" s="9">
        <v>0.60121289093594499</v>
      </c>
      <c r="F10" s="9">
        <v>0.54211464301396395</v>
      </c>
      <c r="G10" s="9">
        <v>0.49028086958435002</v>
      </c>
      <c r="H10" s="9">
        <v>404.05445792702801</v>
      </c>
      <c r="J10">
        <v>0.96</v>
      </c>
      <c r="K10" s="49">
        <v>0.96</v>
      </c>
      <c r="L10">
        <v>2894.05723662118</v>
      </c>
      <c r="M10">
        <v>3200.76814836226</v>
      </c>
      <c r="N10">
        <v>0.76700362643409803</v>
      </c>
      <c r="O10">
        <v>0.74991379135895697</v>
      </c>
      <c r="P10">
        <v>0.73278723939638402</v>
      </c>
      <c r="S10">
        <v>0.96</v>
      </c>
      <c r="T10">
        <v>0.96</v>
      </c>
      <c r="U10">
        <v>327.34397491512999</v>
      </c>
      <c r="V10">
        <v>482.67897875758302</v>
      </c>
      <c r="W10">
        <v>0.50347598141612304</v>
      </c>
      <c r="X10">
        <v>0.47008736229328302</v>
      </c>
      <c r="Y10">
        <v>0.43081967994072201</v>
      </c>
      <c r="Z10">
        <v>410.46686911587602</v>
      </c>
      <c r="AB10">
        <v>0.96</v>
      </c>
      <c r="AC10" s="49">
        <v>0.96</v>
      </c>
      <c r="AD10">
        <v>423.298334434624</v>
      </c>
      <c r="AE10">
        <v>704.69622423445503</v>
      </c>
      <c r="AF10">
        <v>0.65247226559316496</v>
      </c>
      <c r="AG10">
        <v>0.61202698730865501</v>
      </c>
      <c r="AH10">
        <v>0.57192324304909203</v>
      </c>
      <c r="AI10">
        <v>487.223634505652</v>
      </c>
    </row>
    <row r="11" spans="1:35" x14ac:dyDescent="0.35">
      <c r="A11" s="9"/>
      <c r="B11" s="9">
        <v>0.99099999999999999</v>
      </c>
      <c r="C11" s="9">
        <v>320.27669502836699</v>
      </c>
      <c r="D11" s="9">
        <v>608.68635887097196</v>
      </c>
      <c r="E11" s="9">
        <v>0.59816794411679797</v>
      </c>
      <c r="F11" s="9">
        <v>0.53911872107463299</v>
      </c>
      <c r="G11" s="9">
        <v>0.48649267556107201</v>
      </c>
      <c r="H11" s="9">
        <v>398.94852687288602</v>
      </c>
      <c r="K11" s="49">
        <v>0.95499999999999996</v>
      </c>
      <c r="L11">
        <v>2396.8960025768001</v>
      </c>
      <c r="M11">
        <v>2698.2715429555301</v>
      </c>
      <c r="N11">
        <v>0.73949540210549403</v>
      </c>
      <c r="O11">
        <v>0.72044904222073303</v>
      </c>
      <c r="P11">
        <v>0.70112110236155401</v>
      </c>
      <c r="T11">
        <v>0.95499999999999996</v>
      </c>
      <c r="U11">
        <v>321.44052083521302</v>
      </c>
      <c r="V11">
        <v>474.265806469984</v>
      </c>
      <c r="W11">
        <v>0.495711764682643</v>
      </c>
      <c r="X11">
        <v>0.46260748113461297</v>
      </c>
      <c r="Y11">
        <v>0.424311602868434</v>
      </c>
      <c r="Z11">
        <v>403.13252968745201</v>
      </c>
      <c r="AC11" s="49">
        <v>0.95499999999999996</v>
      </c>
      <c r="AD11">
        <v>406.55788381048501</v>
      </c>
      <c r="AE11">
        <v>686.05267004417101</v>
      </c>
      <c r="AF11">
        <v>0.64027171958486695</v>
      </c>
      <c r="AG11">
        <v>0.599013344968505</v>
      </c>
      <c r="AH11">
        <v>0.55823002248633602</v>
      </c>
      <c r="AI11">
        <v>470.27751849833101</v>
      </c>
    </row>
    <row r="12" spans="1:35" x14ac:dyDescent="0.35">
      <c r="A12" s="9">
        <v>0.99</v>
      </c>
      <c r="B12" s="9">
        <v>0.99</v>
      </c>
      <c r="C12" s="9">
        <v>314.88033276150497</v>
      </c>
      <c r="D12" s="9">
        <v>603.43541352576096</v>
      </c>
      <c r="E12" s="9">
        <v>0.59501696523580705</v>
      </c>
      <c r="F12" s="9">
        <v>0.53599836933453704</v>
      </c>
      <c r="G12" s="9">
        <v>0.48260640099560198</v>
      </c>
      <c r="H12" s="9">
        <v>393.80725137372701</v>
      </c>
      <c r="K12" s="49">
        <v>0.95</v>
      </c>
      <c r="L12">
        <v>1899.73476853242</v>
      </c>
      <c r="M12">
        <v>2195.7749375488102</v>
      </c>
      <c r="N12">
        <v>0.71198717777688902</v>
      </c>
      <c r="O12">
        <v>0.69098429308250997</v>
      </c>
      <c r="P12">
        <v>0.66945496532672399</v>
      </c>
      <c r="T12">
        <v>0.95</v>
      </c>
      <c r="U12">
        <v>315.537066755296</v>
      </c>
      <c r="V12">
        <v>465.852634182386</v>
      </c>
      <c r="W12">
        <v>0.48794754794916301</v>
      </c>
      <c r="X12">
        <v>0.45512759997594199</v>
      </c>
      <c r="Y12">
        <v>0.41780352579614599</v>
      </c>
      <c r="Z12">
        <v>395.79819025902901</v>
      </c>
      <c r="AC12" s="49">
        <v>0.95</v>
      </c>
      <c r="AD12">
        <v>389.81743318634699</v>
      </c>
      <c r="AE12">
        <v>667.40911585388801</v>
      </c>
      <c r="AF12">
        <v>0.62807117357656905</v>
      </c>
      <c r="AG12">
        <v>0.58599970262835599</v>
      </c>
      <c r="AH12">
        <v>0.54453680192358001</v>
      </c>
      <c r="AI12">
        <v>453.33140249101001</v>
      </c>
    </row>
    <row r="13" spans="1:35" x14ac:dyDescent="0.35">
      <c r="A13" s="9"/>
      <c r="B13" s="9">
        <v>0.98899999999999999</v>
      </c>
      <c r="C13" s="9">
        <v>309.50700883958501</v>
      </c>
      <c r="D13" s="9">
        <v>598.09518531356696</v>
      </c>
      <c r="E13" s="9">
        <v>0.59175874252640404</v>
      </c>
      <c r="F13" s="9">
        <v>0.53275262909026799</v>
      </c>
      <c r="G13" s="9">
        <v>0.47862192003597898</v>
      </c>
      <c r="H13" s="9">
        <v>388.63046577976399</v>
      </c>
      <c r="K13" s="49">
        <v>0.94499999999999995</v>
      </c>
      <c r="L13">
        <v>1402.57353448805</v>
      </c>
      <c r="M13">
        <v>1693.27833214208</v>
      </c>
      <c r="N13">
        <v>0.68447895344828502</v>
      </c>
      <c r="O13">
        <v>0.66151954394428603</v>
      </c>
      <c r="P13">
        <v>0.63778882829189398</v>
      </c>
      <c r="T13">
        <v>0.94499999999999995</v>
      </c>
      <c r="U13">
        <v>309.63361267537903</v>
      </c>
      <c r="V13">
        <v>457.43946189478697</v>
      </c>
      <c r="W13">
        <v>0.48018333121568302</v>
      </c>
      <c r="X13">
        <v>0.447647718817271</v>
      </c>
      <c r="Y13">
        <v>0.41129544872385898</v>
      </c>
      <c r="Z13">
        <v>388.463850830605</v>
      </c>
      <c r="AC13" s="49">
        <v>0.94499999999999995</v>
      </c>
      <c r="AD13">
        <v>373.076982562208</v>
      </c>
      <c r="AE13">
        <v>648.76556166360399</v>
      </c>
      <c r="AF13">
        <v>0.61587062756827204</v>
      </c>
      <c r="AG13">
        <v>0.57298606028820698</v>
      </c>
      <c r="AH13">
        <v>0.53084358136082499</v>
      </c>
      <c r="AI13">
        <v>436.38528648368901</v>
      </c>
    </row>
    <row r="14" spans="1:35" x14ac:dyDescent="0.35">
      <c r="A14" s="9"/>
      <c r="B14" s="9">
        <v>0.98799999999999999</v>
      </c>
      <c r="C14" s="9">
        <v>304.15676993099697</v>
      </c>
      <c r="D14" s="9">
        <v>592.66373890993498</v>
      </c>
      <c r="E14" s="9">
        <v>0.58839202091129605</v>
      </c>
      <c r="F14" s="9">
        <v>0.52938053222955395</v>
      </c>
      <c r="G14" s="9">
        <v>0.47453915061318103</v>
      </c>
      <c r="H14" s="9">
        <v>383.41805630191499</v>
      </c>
      <c r="J14">
        <v>0.94</v>
      </c>
      <c r="K14" s="49">
        <v>0.94</v>
      </c>
      <c r="L14">
        <v>1039.8753823689999</v>
      </c>
      <c r="M14">
        <v>1323.0581932411801</v>
      </c>
      <c r="N14">
        <v>0.65769167751618596</v>
      </c>
      <c r="O14">
        <v>0.63329952370042497</v>
      </c>
      <c r="P14">
        <v>0.60790541413152299</v>
      </c>
      <c r="S14">
        <v>0.94</v>
      </c>
      <c r="T14">
        <v>0.94</v>
      </c>
      <c r="U14">
        <v>303.73015859546098</v>
      </c>
      <c r="V14">
        <v>449.026289607188</v>
      </c>
      <c r="W14">
        <v>0.47241911448220297</v>
      </c>
      <c r="X14">
        <v>0.44016783765860101</v>
      </c>
      <c r="Y14">
        <v>0.40478737165157103</v>
      </c>
      <c r="Z14">
        <v>381.12951140218098</v>
      </c>
      <c r="AB14">
        <v>0.94</v>
      </c>
      <c r="AC14" s="49">
        <v>0.94</v>
      </c>
      <c r="AD14">
        <v>356.33653193806902</v>
      </c>
      <c r="AE14">
        <v>630.12200747331997</v>
      </c>
      <c r="AF14">
        <v>0.60367008155997404</v>
      </c>
      <c r="AG14">
        <v>0.55997241794805797</v>
      </c>
      <c r="AH14">
        <v>0.51715036079806898</v>
      </c>
      <c r="AI14">
        <v>419.43917047636802</v>
      </c>
    </row>
    <row r="15" spans="1:35" x14ac:dyDescent="0.35">
      <c r="A15" s="9"/>
      <c r="B15" s="9">
        <v>0.98699999999999999</v>
      </c>
      <c r="C15" s="9">
        <v>298.82971896358998</v>
      </c>
      <c r="D15" s="9">
        <v>587.13909993648394</v>
      </c>
      <c r="E15" s="9">
        <v>0.58491550463634401</v>
      </c>
      <c r="F15" s="9">
        <v>0.525881109311641</v>
      </c>
      <c r="G15" s="9">
        <v>0.47035806427129501</v>
      </c>
      <c r="H15" s="9">
        <v>378.16997257929501</v>
      </c>
      <c r="K15" s="49">
        <v>0.93500000000000005</v>
      </c>
      <c r="L15">
        <v>970.20534793458205</v>
      </c>
      <c r="M15">
        <v>1241.1009993745399</v>
      </c>
      <c r="N15">
        <v>0.63247552540894103</v>
      </c>
      <c r="O15">
        <v>0.60779207377490296</v>
      </c>
      <c r="P15">
        <v>0.58190699145562796</v>
      </c>
      <c r="T15">
        <v>0.93500000000000005</v>
      </c>
      <c r="U15">
        <v>297.82670451554401</v>
      </c>
      <c r="V15">
        <v>440.61311731959</v>
      </c>
      <c r="W15">
        <v>0.46465489774872398</v>
      </c>
      <c r="X15">
        <v>0.43268795649993003</v>
      </c>
      <c r="Y15">
        <v>0.39827929457928402</v>
      </c>
      <c r="Z15">
        <v>373.79517197375799</v>
      </c>
      <c r="AC15" s="49">
        <v>0.93500000000000005</v>
      </c>
      <c r="AD15">
        <v>345.23832457883998</v>
      </c>
      <c r="AE15">
        <v>614.92090841190804</v>
      </c>
      <c r="AF15">
        <v>0.59192060648022304</v>
      </c>
      <c r="AG15">
        <v>0.54788873537906702</v>
      </c>
      <c r="AH15">
        <v>0.50494809859146195</v>
      </c>
      <c r="AI15">
        <v>408.41309866196298</v>
      </c>
    </row>
    <row r="16" spans="1:35" x14ac:dyDescent="0.35">
      <c r="A16" s="9"/>
      <c r="B16" s="9">
        <v>0.98599999999999999</v>
      </c>
      <c r="C16" s="9">
        <v>293.52602564575102</v>
      </c>
      <c r="D16" s="9">
        <v>581.51926652274199</v>
      </c>
      <c r="E16" s="9">
        <v>0.58132786124241997</v>
      </c>
      <c r="F16" s="9">
        <v>0.52225339997778197</v>
      </c>
      <c r="G16" s="9">
        <v>0.46607869776391497</v>
      </c>
      <c r="H16" s="9">
        <v>372.88624128149502</v>
      </c>
      <c r="K16" s="49">
        <v>0.93</v>
      </c>
      <c r="L16">
        <v>900.53531350016397</v>
      </c>
      <c r="M16">
        <v>1159.1438055079</v>
      </c>
      <c r="N16">
        <v>0.60725937330169399</v>
      </c>
      <c r="O16">
        <v>0.58228462384937796</v>
      </c>
      <c r="P16">
        <v>0.55590856877973105</v>
      </c>
      <c r="T16">
        <v>0.93</v>
      </c>
      <c r="U16">
        <v>291.92325043562698</v>
      </c>
      <c r="V16">
        <v>432.19994503199098</v>
      </c>
      <c r="W16">
        <v>0.45689068101524399</v>
      </c>
      <c r="X16">
        <v>0.42520807534125898</v>
      </c>
      <c r="Y16">
        <v>0.39177121750699601</v>
      </c>
      <c r="Z16">
        <v>366.46083254533397</v>
      </c>
      <c r="AC16" s="49">
        <v>0.93</v>
      </c>
      <c r="AD16">
        <v>334.17714607382698</v>
      </c>
      <c r="AE16">
        <v>599.74240145848</v>
      </c>
      <c r="AF16">
        <v>0.58017409168397505</v>
      </c>
      <c r="AG16">
        <v>0.53581115594019202</v>
      </c>
      <c r="AH16">
        <v>0.49275562123053002</v>
      </c>
      <c r="AI16">
        <v>397.42587885075602</v>
      </c>
    </row>
    <row r="17" spans="1:35" x14ac:dyDescent="0.35">
      <c r="A17" s="9"/>
      <c r="B17" s="9">
        <v>0.98499999999999999</v>
      </c>
      <c r="C17" s="9">
        <v>288.24593862965799</v>
      </c>
      <c r="D17" s="9">
        <v>575.80222443164996</v>
      </c>
      <c r="E17" s="9">
        <v>0.57762772714181998</v>
      </c>
      <c r="F17" s="9">
        <v>0.51849646616421596</v>
      </c>
      <c r="G17" s="9">
        <v>0.46170116668300398</v>
      </c>
      <c r="H17" s="9">
        <v>367.56698203099802</v>
      </c>
      <c r="K17" s="49">
        <v>0.92500000000000004</v>
      </c>
      <c r="L17">
        <v>830.86527906574804</v>
      </c>
      <c r="M17">
        <v>1077.18661164126</v>
      </c>
      <c r="N17">
        <v>0.58204322119444896</v>
      </c>
      <c r="O17">
        <v>0.55677717392385595</v>
      </c>
      <c r="P17">
        <v>0.52991014610383602</v>
      </c>
      <c r="T17">
        <v>0.92500000000000004</v>
      </c>
      <c r="U17">
        <v>282.916619371705</v>
      </c>
      <c r="V17">
        <v>419.88527106690901</v>
      </c>
      <c r="W17">
        <v>0.445985854291156</v>
      </c>
      <c r="X17">
        <v>0.41469286391486898</v>
      </c>
      <c r="Y17">
        <v>0.38183827755557198</v>
      </c>
      <c r="Z17">
        <v>354.63283898228099</v>
      </c>
      <c r="AC17" s="49">
        <v>0.92500000000000004</v>
      </c>
      <c r="AD17">
        <v>323.11596756881403</v>
      </c>
      <c r="AE17">
        <v>584.56389450505196</v>
      </c>
      <c r="AF17">
        <v>0.56842757688772605</v>
      </c>
      <c r="AG17">
        <v>0.52373357650131802</v>
      </c>
      <c r="AH17">
        <v>0.48056314386959897</v>
      </c>
      <c r="AI17">
        <v>386.43865903954998</v>
      </c>
    </row>
    <row r="18" spans="1:35" x14ac:dyDescent="0.35">
      <c r="A18" s="9"/>
      <c r="B18" s="9">
        <v>0.98399999999999999</v>
      </c>
      <c r="C18" s="9">
        <v>282.98971464609599</v>
      </c>
      <c r="D18" s="9">
        <v>569.98559552541894</v>
      </c>
      <c r="E18" s="9">
        <v>0.573813497327894</v>
      </c>
      <c r="F18" s="9">
        <v>0.51460924460452295</v>
      </c>
      <c r="G18" s="9">
        <v>0.457225604667096</v>
      </c>
      <c r="H18" s="9">
        <v>362.21230954113099</v>
      </c>
      <c r="J18">
        <v>0.92</v>
      </c>
      <c r="K18" s="49">
        <v>0.92</v>
      </c>
      <c r="L18">
        <v>761.195244631332</v>
      </c>
      <c r="M18">
        <v>995.22941777461403</v>
      </c>
      <c r="N18">
        <v>0.55682706908720303</v>
      </c>
      <c r="O18">
        <v>0.53126972399833206</v>
      </c>
      <c r="P18">
        <v>0.50391172342793999</v>
      </c>
      <c r="S18">
        <v>0.92</v>
      </c>
      <c r="T18">
        <v>0.92</v>
      </c>
      <c r="U18">
        <v>271.77343649264299</v>
      </c>
      <c r="V18">
        <v>404.88439501481702</v>
      </c>
      <c r="W18">
        <v>0.43291870295243601</v>
      </c>
      <c r="X18">
        <v>0.40208781345368599</v>
      </c>
      <c r="Y18">
        <v>0.36954730355106602</v>
      </c>
      <c r="Z18">
        <v>339.71094360588199</v>
      </c>
      <c r="AB18">
        <v>0.92</v>
      </c>
      <c r="AC18" s="49">
        <v>0.92</v>
      </c>
      <c r="AD18">
        <v>312.05478906380102</v>
      </c>
      <c r="AE18">
        <v>569.38538755162404</v>
      </c>
      <c r="AF18">
        <v>0.55668106209147805</v>
      </c>
      <c r="AG18">
        <v>0.51165599706244302</v>
      </c>
      <c r="AH18">
        <v>0.46837066650866799</v>
      </c>
      <c r="AI18">
        <v>375.45143922834399</v>
      </c>
    </row>
    <row r="19" spans="1:35" x14ac:dyDescent="0.35">
      <c r="A19" s="9"/>
      <c r="B19" s="9">
        <v>0.98299999999999998</v>
      </c>
      <c r="C19" s="9">
        <v>277.757487768803</v>
      </c>
      <c r="D19" s="9">
        <v>564.06599350233603</v>
      </c>
      <c r="E19" s="9">
        <v>0.56988293747368102</v>
      </c>
      <c r="F19" s="9">
        <v>0.51059028002630502</v>
      </c>
      <c r="G19" s="9">
        <v>0.45265205503719702</v>
      </c>
      <c r="H19" s="9">
        <v>356.82215487142798</v>
      </c>
      <c r="K19" s="49">
        <v>0.91500000000000004</v>
      </c>
      <c r="L19">
        <v>691.52521019691505</v>
      </c>
      <c r="M19">
        <v>913.27222390797101</v>
      </c>
      <c r="N19">
        <v>0.53161091697995699</v>
      </c>
      <c r="O19">
        <v>0.50576227407280805</v>
      </c>
      <c r="P19">
        <v>0.47791330075204402</v>
      </c>
      <c r="T19">
        <v>0.91500000000000004</v>
      </c>
      <c r="U19">
        <v>260.630253613582</v>
      </c>
      <c r="V19">
        <v>389.88351896272502</v>
      </c>
      <c r="W19">
        <v>0.41985155161371601</v>
      </c>
      <c r="X19">
        <v>0.38948276299250201</v>
      </c>
      <c r="Y19">
        <v>0.357256329546561</v>
      </c>
      <c r="Z19">
        <v>324.78904822948198</v>
      </c>
      <c r="AC19" s="49">
        <v>0.91500000000000004</v>
      </c>
      <c r="AD19">
        <v>300.99361055878802</v>
      </c>
      <c r="AE19">
        <v>554.20688059819497</v>
      </c>
      <c r="AF19">
        <v>0.54493454729523005</v>
      </c>
      <c r="AG19">
        <v>0.49957841762356903</v>
      </c>
      <c r="AH19">
        <v>0.456178189147736</v>
      </c>
      <c r="AI19">
        <v>364.46421941713697</v>
      </c>
    </row>
    <row r="20" spans="1:35" x14ac:dyDescent="0.35">
      <c r="A20" s="9"/>
      <c r="B20" s="9">
        <v>0.98199999999999998</v>
      </c>
      <c r="C20" s="9">
        <v>272.54957658879198</v>
      </c>
      <c r="D20" s="9">
        <v>558.04029430114099</v>
      </c>
      <c r="E20" s="9">
        <v>0.56583391833310304</v>
      </c>
      <c r="F20" s="9">
        <v>0.50643831009102402</v>
      </c>
      <c r="G20" s="9">
        <v>0.44798076176153101</v>
      </c>
      <c r="H20" s="9">
        <v>351.39668864748802</v>
      </c>
      <c r="K20" s="49">
        <v>0.91</v>
      </c>
      <c r="L20">
        <v>635.545778943556</v>
      </c>
      <c r="M20">
        <v>848.48245731355701</v>
      </c>
      <c r="N20">
        <v>0.51154238214566095</v>
      </c>
      <c r="O20">
        <v>0.48548655936177398</v>
      </c>
      <c r="P20">
        <v>0.45733440140786302</v>
      </c>
      <c r="T20">
        <v>0.91</v>
      </c>
      <c r="U20">
        <v>249.48707073452101</v>
      </c>
      <c r="V20">
        <v>374.88264291063399</v>
      </c>
      <c r="W20">
        <v>0.40678440027499502</v>
      </c>
      <c r="X20">
        <v>0.37687771253131902</v>
      </c>
      <c r="Y20">
        <v>0.34496535554205598</v>
      </c>
      <c r="Z20">
        <v>309.86715285308298</v>
      </c>
      <c r="AC20" s="49">
        <v>0.91</v>
      </c>
      <c r="AD20">
        <v>289.93243205377502</v>
      </c>
      <c r="AE20">
        <v>539.02837364476704</v>
      </c>
      <c r="AF20">
        <v>0.53318803249898095</v>
      </c>
      <c r="AG20">
        <v>0.48750083818469397</v>
      </c>
      <c r="AH20">
        <v>0.44398571178680502</v>
      </c>
      <c r="AI20">
        <v>353.47699960593098</v>
      </c>
    </row>
    <row r="21" spans="1:35" x14ac:dyDescent="0.35">
      <c r="A21" s="9"/>
      <c r="B21" s="9">
        <v>0.98099999999999998</v>
      </c>
      <c r="C21" s="9">
        <v>267.36656802239901</v>
      </c>
      <c r="D21" s="9">
        <v>551.90598558119996</v>
      </c>
      <c r="E21" s="9">
        <v>0.56166461746089502</v>
      </c>
      <c r="F21" s="9">
        <v>0.50215243114832997</v>
      </c>
      <c r="G21" s="9">
        <v>0.44321225045440799</v>
      </c>
      <c r="H21" s="9">
        <v>345.93643705610702</v>
      </c>
      <c r="K21" s="49">
        <v>0.90500000000000003</v>
      </c>
      <c r="L21">
        <v>588.391702638634</v>
      </c>
      <c r="M21">
        <v>794.75930606291001</v>
      </c>
      <c r="N21">
        <v>0.49479214884795297</v>
      </c>
      <c r="O21">
        <v>0.46858337102181802</v>
      </c>
      <c r="P21">
        <v>0.440249082033913</v>
      </c>
      <c r="T21">
        <v>0.90500000000000003</v>
      </c>
      <c r="U21">
        <v>238.34388785546</v>
      </c>
      <c r="V21">
        <v>359.88176685854199</v>
      </c>
      <c r="W21">
        <v>0.39371724893627502</v>
      </c>
      <c r="X21">
        <v>0.36427266207013598</v>
      </c>
      <c r="Y21">
        <v>0.33267438153755002</v>
      </c>
      <c r="Z21">
        <v>294.94525747668303</v>
      </c>
      <c r="AC21" s="49">
        <v>0.90500000000000003</v>
      </c>
      <c r="AD21">
        <v>278.87125354876201</v>
      </c>
      <c r="AE21">
        <v>523.849866691339</v>
      </c>
      <c r="AF21">
        <v>0.52144151770273295</v>
      </c>
      <c r="AG21">
        <v>0.47542325874581998</v>
      </c>
      <c r="AH21">
        <v>0.43179323442587297</v>
      </c>
      <c r="AI21">
        <v>342.489779794725</v>
      </c>
    </row>
    <row r="22" spans="1:35" x14ac:dyDescent="0.35">
      <c r="A22" s="9">
        <v>0.98</v>
      </c>
      <c r="B22" s="9">
        <v>0.98</v>
      </c>
      <c r="C22" s="9">
        <v>262.20933685969902</v>
      </c>
      <c r="D22" s="9">
        <v>545.66124488745697</v>
      </c>
      <c r="E22" s="9">
        <v>0.55737356280681605</v>
      </c>
      <c r="F22" s="9">
        <v>0.49773214279320799</v>
      </c>
      <c r="G22" s="9">
        <v>0.43834735034641698</v>
      </c>
      <c r="H22" s="9">
        <v>340.44230978210902</v>
      </c>
      <c r="J22" s="42">
        <v>0.9</v>
      </c>
      <c r="K22" s="49">
        <v>0.9</v>
      </c>
      <c r="L22">
        <v>541.237626333712</v>
      </c>
      <c r="M22">
        <v>741.03615481226302</v>
      </c>
      <c r="N22">
        <v>0.478041915550244</v>
      </c>
      <c r="O22">
        <v>0.451680182681863</v>
      </c>
      <c r="P22">
        <v>0.42316376265996303</v>
      </c>
      <c r="S22" s="42">
        <v>0.9</v>
      </c>
      <c r="T22">
        <v>0.9</v>
      </c>
      <c r="U22">
        <v>227.20070497639799</v>
      </c>
      <c r="V22">
        <v>344.88089080645</v>
      </c>
      <c r="W22">
        <v>0.38065009759755503</v>
      </c>
      <c r="X22">
        <v>0.35166761160895199</v>
      </c>
      <c r="Y22">
        <v>0.32038340753304501</v>
      </c>
      <c r="Z22">
        <v>280.02336210028398</v>
      </c>
      <c r="AB22" s="42">
        <v>0.9</v>
      </c>
      <c r="AC22" s="49">
        <v>0.9</v>
      </c>
      <c r="AD22">
        <v>267.81007504374901</v>
      </c>
      <c r="AE22">
        <v>508.67135973791102</v>
      </c>
      <c r="AF22">
        <v>0.50969500290648395</v>
      </c>
      <c r="AG22">
        <v>0.46334567930694498</v>
      </c>
      <c r="AH22">
        <v>0.41960075706494199</v>
      </c>
      <c r="AI22">
        <v>331.50255998351798</v>
      </c>
    </row>
    <row r="23" spans="1:35" x14ac:dyDescent="0.35">
      <c r="A23" s="9"/>
      <c r="B23" s="9">
        <v>0.97899999999999998</v>
      </c>
      <c r="C23" s="9">
        <v>257.07907062265599</v>
      </c>
      <c r="D23" s="9">
        <v>539.30503465507798</v>
      </c>
      <c r="E23" s="9">
        <v>0.552959684388593</v>
      </c>
      <c r="F23" s="9">
        <v>0.493177399870737</v>
      </c>
      <c r="G23" s="9">
        <v>0.43338722106852501</v>
      </c>
      <c r="H23" s="9">
        <v>334.91563499910501</v>
      </c>
      <c r="K23" s="49">
        <v>0.89500000000000002</v>
      </c>
      <c r="L23">
        <v>494.08355002879</v>
      </c>
      <c r="M23">
        <v>687.31300356161603</v>
      </c>
      <c r="N23">
        <v>0.46129168225253497</v>
      </c>
      <c r="O23">
        <v>0.43477699434190697</v>
      </c>
      <c r="P23">
        <v>0.406078443286012</v>
      </c>
      <c r="T23">
        <v>0.89500000000000002</v>
      </c>
      <c r="U23">
        <v>216.057522097337</v>
      </c>
      <c r="V23">
        <v>329.880014754358</v>
      </c>
      <c r="W23">
        <v>0.36758294625883398</v>
      </c>
      <c r="X23">
        <v>0.339062561147769</v>
      </c>
      <c r="Y23">
        <v>0.30809243352853999</v>
      </c>
      <c r="Z23">
        <v>265.10146672388402</v>
      </c>
      <c r="AC23" s="49">
        <v>0.89500000000000002</v>
      </c>
      <c r="AD23">
        <v>256.74889653873601</v>
      </c>
      <c r="AE23">
        <v>493.49285278448201</v>
      </c>
      <c r="AF23">
        <v>0.49794848811023601</v>
      </c>
      <c r="AG23">
        <v>0.45126809986807098</v>
      </c>
      <c r="AH23">
        <v>0.40740827970401</v>
      </c>
      <c r="AI23">
        <v>320.51534017231199</v>
      </c>
    </row>
    <row r="24" spans="1:35" x14ac:dyDescent="0.35">
      <c r="A24" s="9"/>
      <c r="B24" s="9">
        <v>0.97799999999999998</v>
      </c>
      <c r="C24" s="9">
        <v>251.977661049803</v>
      </c>
      <c r="D24" s="9">
        <v>532.83809427922199</v>
      </c>
      <c r="E24" s="9">
        <v>0.54842275446526201</v>
      </c>
      <c r="F24" s="9">
        <v>0.48848903306344299</v>
      </c>
      <c r="G24" s="9">
        <v>0.428333700738951</v>
      </c>
      <c r="H24" s="9">
        <v>329.358662199707</v>
      </c>
      <c r="K24" s="49">
        <v>0.89</v>
      </c>
      <c r="L24">
        <v>446.92947372386902</v>
      </c>
      <c r="M24">
        <v>633.58985231096904</v>
      </c>
      <c r="N24">
        <v>0.444541448954826</v>
      </c>
      <c r="O24">
        <v>0.41787380600195101</v>
      </c>
      <c r="P24">
        <v>0.38899312391206198</v>
      </c>
      <c r="T24">
        <v>0.89</v>
      </c>
      <c r="U24">
        <v>208.21595309584799</v>
      </c>
      <c r="V24">
        <v>319.89437943672499</v>
      </c>
      <c r="W24">
        <v>0.358575307535272</v>
      </c>
      <c r="X24">
        <v>0.33035567700830598</v>
      </c>
      <c r="Y24">
        <v>0.29961287877234299</v>
      </c>
      <c r="Z24">
        <v>255.493091005732</v>
      </c>
      <c r="AC24" s="49">
        <v>0.89</v>
      </c>
      <c r="AD24">
        <v>245.79205136837601</v>
      </c>
      <c r="AE24">
        <v>478.26455643628299</v>
      </c>
      <c r="AF24">
        <v>0.48604538597112201</v>
      </c>
      <c r="AG24">
        <v>0.43912579634042098</v>
      </c>
      <c r="AH24">
        <v>0.395201020299496</v>
      </c>
      <c r="AI24">
        <v>309.40877461299101</v>
      </c>
    </row>
    <row r="25" spans="1:35" x14ac:dyDescent="0.35">
      <c r="A25" s="9"/>
      <c r="B25" s="9">
        <v>0.97699999999999998</v>
      </c>
      <c r="C25" s="9">
        <v>246.90798351772301</v>
      </c>
      <c r="D25" s="9">
        <v>526.26373738605605</v>
      </c>
      <c r="E25" s="9">
        <v>0.54376374506496405</v>
      </c>
      <c r="F25" s="9">
        <v>0.48366908861134</v>
      </c>
      <c r="G25" s="9">
        <v>0.42318955613370202</v>
      </c>
      <c r="H25" s="9">
        <v>323.77492273840699</v>
      </c>
      <c r="K25" s="49">
        <v>0.88500000000000001</v>
      </c>
      <c r="L25">
        <v>403.016511813053</v>
      </c>
      <c r="M25">
        <v>582.18633399150099</v>
      </c>
      <c r="N25">
        <v>0.42736528624586101</v>
      </c>
      <c r="O25">
        <v>0.40054578059009199</v>
      </c>
      <c r="P25">
        <v>0.37159937373000002</v>
      </c>
      <c r="T25">
        <v>0.88500000000000001</v>
      </c>
      <c r="U25">
        <v>204.34376624737999</v>
      </c>
      <c r="V25">
        <v>315.938342916122</v>
      </c>
      <c r="W25">
        <v>0.35444823859427599</v>
      </c>
      <c r="X25">
        <v>0.326335383245767</v>
      </c>
      <c r="Y25">
        <v>0.29571562228085102</v>
      </c>
      <c r="Z25">
        <v>252.27292144471099</v>
      </c>
      <c r="AC25" s="49">
        <v>0.88500000000000001</v>
      </c>
      <c r="AD25">
        <v>235.78389400438999</v>
      </c>
      <c r="AE25">
        <v>462.58353237778101</v>
      </c>
      <c r="AF25">
        <v>0.47271845794449402</v>
      </c>
      <c r="AG25">
        <v>0.42639496610648397</v>
      </c>
      <c r="AH25">
        <v>0.38285934992702902</v>
      </c>
      <c r="AI25">
        <v>297.21701555960902</v>
      </c>
    </row>
    <row r="26" spans="1:35" x14ac:dyDescent="0.35">
      <c r="A26" s="9"/>
      <c r="B26" s="9">
        <v>0.97599999999999998</v>
      </c>
      <c r="C26" s="9">
        <v>241.87335584875601</v>
      </c>
      <c r="D26" s="9">
        <v>519.58665942901905</v>
      </c>
      <c r="E26" s="9">
        <v>0.53898432704638299</v>
      </c>
      <c r="F26" s="9">
        <v>0.478720351169244</v>
      </c>
      <c r="G26" s="9">
        <v>0.41795801393912302</v>
      </c>
      <c r="H26" s="9">
        <v>318.16854423827499</v>
      </c>
      <c r="J26">
        <v>0.88</v>
      </c>
      <c r="K26" s="49">
        <v>0.88</v>
      </c>
      <c r="L26">
        <v>369.52534080324199</v>
      </c>
      <c r="M26">
        <v>538.24158646389401</v>
      </c>
      <c r="N26">
        <v>0.408819549148908</v>
      </c>
      <c r="O26">
        <v>0.38185169320324602</v>
      </c>
      <c r="P26">
        <v>0.35321386546762601</v>
      </c>
      <c r="S26">
        <v>0.88</v>
      </c>
      <c r="T26">
        <v>0.88</v>
      </c>
      <c r="U26">
        <v>200.47157939891201</v>
      </c>
      <c r="V26">
        <v>311.98230639552003</v>
      </c>
      <c r="W26">
        <v>0.35032116965327997</v>
      </c>
      <c r="X26">
        <v>0.32231508948322801</v>
      </c>
      <c r="Y26">
        <v>0.29181836578935799</v>
      </c>
      <c r="Z26">
        <v>249.052751883691</v>
      </c>
      <c r="AB26">
        <v>0.88</v>
      </c>
      <c r="AC26" s="49">
        <v>0.88</v>
      </c>
      <c r="AD26">
        <v>225.77573664040401</v>
      </c>
      <c r="AE26">
        <v>446.90250831927898</v>
      </c>
      <c r="AF26">
        <v>0.45939152991786603</v>
      </c>
      <c r="AG26">
        <v>0.41366413587254702</v>
      </c>
      <c r="AH26">
        <v>0.370517679554563</v>
      </c>
      <c r="AI26">
        <v>285.025256506228</v>
      </c>
    </row>
    <row r="27" spans="1:35" x14ac:dyDescent="0.35">
      <c r="A27" s="9"/>
      <c r="B27" s="9">
        <v>0.97499999999999998</v>
      </c>
      <c r="C27" s="9">
        <v>236.87748789373001</v>
      </c>
      <c r="D27" s="9">
        <v>512.81288294077103</v>
      </c>
      <c r="E27" s="9">
        <v>0.53408686185328003</v>
      </c>
      <c r="F27" s="9">
        <v>0.473646334109389</v>
      </c>
      <c r="G27" s="9">
        <v>0.41264272163283899</v>
      </c>
      <c r="H27" s="9">
        <v>312.54419090742499</v>
      </c>
      <c r="K27" s="49">
        <v>0.875</v>
      </c>
      <c r="L27">
        <v>336.034169793432</v>
      </c>
      <c r="M27">
        <v>494.29683893628697</v>
      </c>
      <c r="N27">
        <v>0.39027381205195599</v>
      </c>
      <c r="O27">
        <v>0.363157605816399</v>
      </c>
      <c r="P27">
        <v>0.334828357205252</v>
      </c>
      <c r="T27">
        <v>0.875</v>
      </c>
      <c r="U27">
        <v>196.59939255044401</v>
      </c>
      <c r="V27">
        <v>308.026269874918</v>
      </c>
      <c r="W27">
        <v>0.34619410071228301</v>
      </c>
      <c r="X27">
        <v>0.31829479572069003</v>
      </c>
      <c r="Y27">
        <v>0.28792110929786602</v>
      </c>
      <c r="Z27">
        <v>245.83258232266999</v>
      </c>
      <c r="AC27" s="49">
        <v>0.875</v>
      </c>
      <c r="AD27">
        <v>215.76757927641799</v>
      </c>
      <c r="AE27">
        <v>431.221484260777</v>
      </c>
      <c r="AF27">
        <v>0.44606460189123798</v>
      </c>
      <c r="AG27">
        <v>0.40093330563861002</v>
      </c>
      <c r="AH27">
        <v>0.35817600918209602</v>
      </c>
      <c r="AI27">
        <v>272.83349745284602</v>
      </c>
    </row>
    <row r="28" spans="1:35" x14ac:dyDescent="0.35">
      <c r="A28" s="9"/>
      <c r="B28" s="9">
        <v>0.97399999999999998</v>
      </c>
      <c r="C28" s="9">
        <v>231.92448671080899</v>
      </c>
      <c r="D28" s="9">
        <v>505.94984304015998</v>
      </c>
      <c r="E28" s="9">
        <v>0.52907445709051604</v>
      </c>
      <c r="F28" s="9">
        <v>0.46845132711631499</v>
      </c>
      <c r="G28" s="9">
        <v>0.40724775677313202</v>
      </c>
      <c r="H28" s="9">
        <v>306.90707504163402</v>
      </c>
      <c r="K28" s="49">
        <v>0.87</v>
      </c>
      <c r="L28">
        <v>302.54299878362099</v>
      </c>
      <c r="M28">
        <v>450.35209140868</v>
      </c>
      <c r="N28">
        <v>0.37172807495500299</v>
      </c>
      <c r="O28">
        <v>0.34446351842955297</v>
      </c>
      <c r="P28">
        <v>0.316442848942878</v>
      </c>
      <c r="T28">
        <v>0.87</v>
      </c>
      <c r="U28">
        <v>192.727205701977</v>
      </c>
      <c r="V28">
        <v>304.07023335431501</v>
      </c>
      <c r="W28">
        <v>0.342067031771287</v>
      </c>
      <c r="X28">
        <v>0.31427450195815099</v>
      </c>
      <c r="Y28">
        <v>0.28402385280637299</v>
      </c>
      <c r="Z28">
        <v>242.61241276165001</v>
      </c>
      <c r="AC28" s="49">
        <v>0.87</v>
      </c>
      <c r="AD28">
        <v>205.759421912433</v>
      </c>
      <c r="AE28">
        <v>415.54046020227503</v>
      </c>
      <c r="AF28">
        <v>0.43273767386460998</v>
      </c>
      <c r="AG28">
        <v>0.38820247540467301</v>
      </c>
      <c r="AH28">
        <v>0.34583433880962999</v>
      </c>
      <c r="AI28">
        <v>260.641738399465</v>
      </c>
    </row>
    <row r="29" spans="1:35" x14ac:dyDescent="0.35">
      <c r="A29" s="9"/>
      <c r="B29" s="9">
        <v>0.97299999999999998</v>
      </c>
      <c r="C29" s="9">
        <v>227.018855686584</v>
      </c>
      <c r="D29" s="9">
        <v>499.00651964892302</v>
      </c>
      <c r="E29" s="9">
        <v>0.52395111835100205</v>
      </c>
      <c r="F29" s="9">
        <v>0.46314052029394098</v>
      </c>
      <c r="G29" s="9">
        <v>0.401777653447701</v>
      </c>
      <c r="H29" s="9">
        <v>301.26296811544501</v>
      </c>
      <c r="K29" s="49">
        <v>0.86499999999999999</v>
      </c>
      <c r="L29">
        <v>269.05182777380998</v>
      </c>
      <c r="M29">
        <v>406.40734388107302</v>
      </c>
      <c r="N29">
        <v>0.35318233785805098</v>
      </c>
      <c r="O29">
        <v>0.325769431042706</v>
      </c>
      <c r="P29">
        <v>0.29805734068050399</v>
      </c>
      <c r="T29">
        <v>0.86499999999999999</v>
      </c>
      <c r="U29">
        <v>188.85501885350899</v>
      </c>
      <c r="V29">
        <v>300.11419683371298</v>
      </c>
      <c r="W29">
        <v>0.33793996283029099</v>
      </c>
      <c r="X29">
        <v>0.310254208195612</v>
      </c>
      <c r="Y29">
        <v>0.28012659631488102</v>
      </c>
      <c r="Z29">
        <v>239.392243200629</v>
      </c>
      <c r="AC29" s="49">
        <v>0.86499999999999999</v>
      </c>
      <c r="AD29">
        <v>195.75126454844701</v>
      </c>
      <c r="AE29">
        <v>399.85943614377197</v>
      </c>
      <c r="AF29">
        <v>0.41941074583798199</v>
      </c>
      <c r="AG29">
        <v>0.375471645170736</v>
      </c>
      <c r="AH29">
        <v>0.33349266843716302</v>
      </c>
      <c r="AI29">
        <v>248.44997934608301</v>
      </c>
    </row>
    <row r="30" spans="1:35" x14ac:dyDescent="0.35">
      <c r="A30" s="9"/>
      <c r="B30" s="9">
        <v>0.97199999999999998</v>
      </c>
      <c r="C30" s="9">
        <v>222.16546364676</v>
      </c>
      <c r="D30" s="9">
        <v>491.99420369168598</v>
      </c>
      <c r="E30" s="9">
        <v>0.51872314413398601</v>
      </c>
      <c r="F30" s="9">
        <v>0.45772117298346199</v>
      </c>
      <c r="G30" s="9">
        <v>0.39623770784260398</v>
      </c>
      <c r="H30" s="9">
        <v>295.61826707669502</v>
      </c>
      <c r="J30">
        <v>0.86</v>
      </c>
      <c r="K30" s="49">
        <v>0.86</v>
      </c>
      <c r="L30">
        <v>237.83542887095899</v>
      </c>
      <c r="M30">
        <v>365.21651637638098</v>
      </c>
      <c r="N30">
        <v>0.33448137109770798</v>
      </c>
      <c r="O30">
        <v>0.30705300686124698</v>
      </c>
      <c r="P30">
        <v>0.27969321988384999</v>
      </c>
      <c r="S30">
        <v>0.86</v>
      </c>
      <c r="T30">
        <v>0.86</v>
      </c>
      <c r="U30">
        <v>184.98283200504099</v>
      </c>
      <c r="V30">
        <v>296.15816031310999</v>
      </c>
      <c r="W30">
        <v>0.33381289388929403</v>
      </c>
      <c r="X30">
        <v>0.30623391443307302</v>
      </c>
      <c r="Y30">
        <v>0.27622933982338799</v>
      </c>
      <c r="Z30">
        <v>236.17207363960901</v>
      </c>
      <c r="AB30">
        <v>0.86</v>
      </c>
      <c r="AC30" s="49">
        <v>0.86</v>
      </c>
      <c r="AD30">
        <v>185.743107184461</v>
      </c>
      <c r="AE30">
        <v>384.17841208527</v>
      </c>
      <c r="AF30">
        <v>0.406083817811354</v>
      </c>
      <c r="AG30">
        <v>0.36274081493679899</v>
      </c>
      <c r="AH30">
        <v>0.32115099806469599</v>
      </c>
      <c r="AI30">
        <v>236.25822029270199</v>
      </c>
    </row>
    <row r="31" spans="1:35" x14ac:dyDescent="0.35">
      <c r="A31" s="9"/>
      <c r="B31" s="9">
        <v>0.97099999999999997</v>
      </c>
      <c r="C31" s="9">
        <v>217.36950055639801</v>
      </c>
      <c r="D31" s="9">
        <v>484.92656842055601</v>
      </c>
      <c r="E31" s="9">
        <v>0.51339934345853699</v>
      </c>
      <c r="F31" s="9">
        <v>0.45220274074518801</v>
      </c>
      <c r="G31" s="9">
        <v>0.39063395136667001</v>
      </c>
      <c r="H31" s="9">
        <v>289.97994353956301</v>
      </c>
      <c r="K31" s="49">
        <v>0.85499999999999998</v>
      </c>
      <c r="L31">
        <v>217.47046736466601</v>
      </c>
      <c r="M31">
        <v>337.16282495330597</v>
      </c>
      <c r="N31">
        <v>0.315039905995045</v>
      </c>
      <c r="O31">
        <v>0.28823002856492302</v>
      </c>
      <c r="P31">
        <v>0.26143112458003998</v>
      </c>
      <c r="T31">
        <v>0.85499999999999998</v>
      </c>
      <c r="U31">
        <v>173.99784620946301</v>
      </c>
      <c r="V31">
        <v>280.34242705645499</v>
      </c>
      <c r="W31">
        <v>0.31871928131001898</v>
      </c>
      <c r="X31">
        <v>0.29110347391803199</v>
      </c>
      <c r="Y31">
        <v>0.26162684961895899</v>
      </c>
      <c r="Z31">
        <v>223.49088783516399</v>
      </c>
      <c r="AC31" s="49">
        <v>0.85499999999999998</v>
      </c>
      <c r="AD31">
        <v>175.73494982047501</v>
      </c>
      <c r="AE31">
        <v>368.49738802676802</v>
      </c>
      <c r="AF31">
        <v>0.392756889784727</v>
      </c>
      <c r="AG31">
        <v>0.35000998470286199</v>
      </c>
      <c r="AH31">
        <v>0.30880932769223002</v>
      </c>
      <c r="AI31">
        <v>224.06646123932001</v>
      </c>
    </row>
    <row r="32" spans="1:35" x14ac:dyDescent="0.35">
      <c r="A32" s="9">
        <v>0.97</v>
      </c>
      <c r="B32" s="9">
        <v>0.97</v>
      </c>
      <c r="C32" s="9">
        <v>212.636427914617</v>
      </c>
      <c r="D32" s="9">
        <v>477.81922812014102</v>
      </c>
      <c r="E32" s="9">
        <v>0.50799037645260303</v>
      </c>
      <c r="F32" s="9">
        <v>0.44659622897724099</v>
      </c>
      <c r="G32" s="9">
        <v>0.38497290153452801</v>
      </c>
      <c r="H32" s="9">
        <v>284.35541922039801</v>
      </c>
      <c r="K32" s="49">
        <v>0.85</v>
      </c>
      <c r="L32">
        <v>197.105505858372</v>
      </c>
      <c r="M32">
        <v>309.10913353023</v>
      </c>
      <c r="N32">
        <v>0.29559844089238102</v>
      </c>
      <c r="O32">
        <v>0.26940705026859901</v>
      </c>
      <c r="P32">
        <v>0.24316902927622999</v>
      </c>
      <c r="T32">
        <v>0.85</v>
      </c>
      <c r="U32">
        <v>161.70475752225499</v>
      </c>
      <c r="V32">
        <v>262.345596919424</v>
      </c>
      <c r="W32">
        <v>0.30160883013442102</v>
      </c>
      <c r="X32">
        <v>0.27392978499945198</v>
      </c>
      <c r="Y32">
        <v>0.24505557788709001</v>
      </c>
      <c r="Z32">
        <v>209.06974244549801</v>
      </c>
      <c r="AC32" s="49">
        <v>0.85</v>
      </c>
      <c r="AD32">
        <v>165.72679245648899</v>
      </c>
      <c r="AE32">
        <v>352.81636396826599</v>
      </c>
      <c r="AF32">
        <v>0.37942996175809901</v>
      </c>
      <c r="AG32">
        <v>0.33727915446892498</v>
      </c>
      <c r="AH32">
        <v>0.29646765731976299</v>
      </c>
      <c r="AI32">
        <v>211.87470218593899</v>
      </c>
    </row>
    <row r="33" spans="1:35" x14ac:dyDescent="0.35">
      <c r="A33" s="9"/>
      <c r="B33" s="9">
        <v>0.96899999999999997</v>
      </c>
      <c r="C33" s="9">
        <v>207.97188572944299</v>
      </c>
      <c r="D33" s="9">
        <v>470.68959605573502</v>
      </c>
      <c r="E33" s="9">
        <v>0.50250884600606904</v>
      </c>
      <c r="F33" s="9">
        <v>0.44091413914351102</v>
      </c>
      <c r="G33" s="9">
        <v>0.37926146223442903</v>
      </c>
      <c r="H33" s="9">
        <v>278.752442640825</v>
      </c>
      <c r="K33" s="49">
        <v>0.84499999999999997</v>
      </c>
      <c r="L33">
        <v>176.74054435207799</v>
      </c>
      <c r="M33">
        <v>281.05544210715499</v>
      </c>
      <c r="N33">
        <v>0.27615697578971699</v>
      </c>
      <c r="O33">
        <v>0.250584071972274</v>
      </c>
      <c r="P33">
        <v>0.22490693397242101</v>
      </c>
      <c r="T33">
        <v>0.84499999999999997</v>
      </c>
      <c r="U33">
        <v>149.411668835048</v>
      </c>
      <c r="V33">
        <v>244.348766782393</v>
      </c>
      <c r="W33">
        <v>0.28449837895882202</v>
      </c>
      <c r="X33">
        <v>0.25675609608087302</v>
      </c>
      <c r="Y33">
        <v>0.228484306155221</v>
      </c>
      <c r="Z33">
        <v>194.648597055831</v>
      </c>
      <c r="AC33" s="49">
        <v>0.84499999999999997</v>
      </c>
      <c r="AD33">
        <v>155.973228340395</v>
      </c>
      <c r="AE33">
        <v>337.35626860048001</v>
      </c>
      <c r="AF33">
        <v>0.36588347068763999</v>
      </c>
      <c r="AG33">
        <v>0.324298530434107</v>
      </c>
      <c r="AH33">
        <v>0.28396227517640898</v>
      </c>
      <c r="AI33">
        <v>200.20939938494499</v>
      </c>
    </row>
    <row r="34" spans="1:35" x14ac:dyDescent="0.35">
      <c r="A34" s="9"/>
      <c r="B34" s="9">
        <v>0.96799999999999997</v>
      </c>
      <c r="C34" s="9">
        <v>203.38153383316299</v>
      </c>
      <c r="D34" s="9">
        <v>463.55651643212201</v>
      </c>
      <c r="E34" s="9">
        <v>0.49696937667311503</v>
      </c>
      <c r="F34" s="9">
        <v>0.43517030607124002</v>
      </c>
      <c r="G34" s="9">
        <v>0.37350675215257001</v>
      </c>
      <c r="H34" s="9">
        <v>273.178875531789</v>
      </c>
      <c r="J34">
        <v>0.84</v>
      </c>
      <c r="K34" s="49">
        <v>0.84</v>
      </c>
      <c r="L34">
        <v>156.375582845785</v>
      </c>
      <c r="M34">
        <v>253.00175068408001</v>
      </c>
      <c r="N34">
        <v>0.25671551068705301</v>
      </c>
      <c r="O34">
        <v>0.23176109367594999</v>
      </c>
      <c r="P34">
        <v>0.206644838668611</v>
      </c>
      <c r="S34">
        <v>0.84</v>
      </c>
      <c r="T34">
        <v>0.84</v>
      </c>
      <c r="U34">
        <v>137.11858014783999</v>
      </c>
      <c r="V34">
        <v>226.351936645363</v>
      </c>
      <c r="W34">
        <v>0.26738792778322401</v>
      </c>
      <c r="X34">
        <v>0.23958240716229301</v>
      </c>
      <c r="Y34">
        <v>0.21191303442335199</v>
      </c>
      <c r="Z34">
        <v>180.227451666165</v>
      </c>
      <c r="AB34">
        <v>0.84</v>
      </c>
      <c r="AC34" s="49">
        <v>0.84</v>
      </c>
      <c r="AD34">
        <v>147.27659605312701</v>
      </c>
      <c r="AE34">
        <v>322.81334824441001</v>
      </c>
      <c r="AF34">
        <v>0.35142547402392699</v>
      </c>
      <c r="AG34">
        <v>0.31028089924776397</v>
      </c>
      <c r="AH34">
        <v>0.27077725135819702</v>
      </c>
      <c r="AI34">
        <v>190.72965481944399</v>
      </c>
    </row>
    <row r="35" spans="1:35" x14ac:dyDescent="0.35">
      <c r="A35" s="9"/>
      <c r="B35" s="9">
        <v>0.96699999999999997</v>
      </c>
      <c r="C35" s="9">
        <v>198.86971269585899</v>
      </c>
      <c r="D35" s="9">
        <v>456.43644156035299</v>
      </c>
      <c r="E35" s="9">
        <v>0.49138636313767903</v>
      </c>
      <c r="F35" s="9">
        <v>0.42937710661363898</v>
      </c>
      <c r="G35" s="9">
        <v>0.36771447493148302</v>
      </c>
      <c r="H35" s="9">
        <v>267.64092042172899</v>
      </c>
      <c r="K35" s="49">
        <v>0.83499999999999996</v>
      </c>
      <c r="L35">
        <v>138.762093366042</v>
      </c>
      <c r="M35">
        <v>228.60628714454</v>
      </c>
      <c r="N35">
        <v>0.238891774186725</v>
      </c>
      <c r="O35">
        <v>0.21463932709939701</v>
      </c>
      <c r="P35">
        <v>0.19013205994618099</v>
      </c>
      <c r="T35">
        <v>0.83499999999999996</v>
      </c>
      <c r="U35">
        <v>124.82549146063199</v>
      </c>
      <c r="V35">
        <v>208.355106508332</v>
      </c>
      <c r="W35">
        <v>0.250277476607625</v>
      </c>
      <c r="X35">
        <v>0.222408718243713</v>
      </c>
      <c r="Y35">
        <v>0.19534176269148301</v>
      </c>
      <c r="Z35">
        <v>165.80630627649799</v>
      </c>
      <c r="AC35" s="49">
        <v>0.83499999999999996</v>
      </c>
      <c r="AD35">
        <v>138.57996376585899</v>
      </c>
      <c r="AE35">
        <v>308.27042788834098</v>
      </c>
      <c r="AF35">
        <v>0.33696747736021498</v>
      </c>
      <c r="AG35">
        <v>0.296263268061421</v>
      </c>
      <c r="AH35">
        <v>0.25759222753998401</v>
      </c>
      <c r="AI35">
        <v>181.24991025394399</v>
      </c>
    </row>
    <row r="36" spans="1:35" x14ac:dyDescent="0.35">
      <c r="A36" s="9"/>
      <c r="B36" s="9">
        <v>0.96599999999999997</v>
      </c>
      <c r="C36" s="9">
        <v>194.43485457042399</v>
      </c>
      <c r="D36" s="9">
        <v>449.32973287631501</v>
      </c>
      <c r="E36" s="9">
        <v>0.485764830921397</v>
      </c>
      <c r="F36" s="9">
        <v>0.42353504605496001</v>
      </c>
      <c r="G36" s="9">
        <v>0.36188325111135899</v>
      </c>
      <c r="H36" s="9">
        <v>262.13705539617399</v>
      </c>
      <c r="K36" s="49">
        <v>0.83</v>
      </c>
      <c r="L36">
        <v>125.439548103801</v>
      </c>
      <c r="M36">
        <v>209.915861356313</v>
      </c>
      <c r="N36">
        <v>0.223590899312718</v>
      </c>
      <c r="O36">
        <v>0.20017061478661699</v>
      </c>
      <c r="P36">
        <v>0.17634735543167199</v>
      </c>
      <c r="T36">
        <v>0.83</v>
      </c>
      <c r="U36">
        <v>112.532402773424</v>
      </c>
      <c r="V36">
        <v>190.358276371301</v>
      </c>
      <c r="W36">
        <v>0.233167025432027</v>
      </c>
      <c r="X36">
        <v>0.20523502932513299</v>
      </c>
      <c r="Y36">
        <v>0.178770490959614</v>
      </c>
      <c r="Z36">
        <v>151.38516088683201</v>
      </c>
      <c r="AC36" s="49">
        <v>0.83</v>
      </c>
      <c r="AD36">
        <v>129.883331478591</v>
      </c>
      <c r="AE36">
        <v>293.727507532272</v>
      </c>
      <c r="AF36">
        <v>0.32250948069650198</v>
      </c>
      <c r="AG36">
        <v>0.28224563687507798</v>
      </c>
      <c r="AH36">
        <v>0.24440720372177199</v>
      </c>
      <c r="AI36">
        <v>171.770165688443</v>
      </c>
    </row>
    <row r="37" spans="1:35" x14ac:dyDescent="0.35">
      <c r="A37" s="9"/>
      <c r="B37" s="9">
        <v>0.96499999999999997</v>
      </c>
      <c r="C37" s="9">
        <v>190.07044066617701</v>
      </c>
      <c r="D37" s="9">
        <v>442.21985376509798</v>
      </c>
      <c r="E37" s="9">
        <v>0.48010209493973399</v>
      </c>
      <c r="F37" s="9">
        <v>0.41763323512197997</v>
      </c>
      <c r="G37" s="9">
        <v>0.35600579263716198</v>
      </c>
      <c r="H37" s="9">
        <v>256.65917835772501</v>
      </c>
      <c r="K37" s="49">
        <v>0.82499999999999996</v>
      </c>
      <c r="L37">
        <v>112.11700284155999</v>
      </c>
      <c r="M37">
        <v>191.22543556808699</v>
      </c>
      <c r="N37">
        <v>0.20829002443871</v>
      </c>
      <c r="O37">
        <v>0.185701902473838</v>
      </c>
      <c r="P37">
        <v>0.16256265091716299</v>
      </c>
      <c r="T37">
        <v>0.82499999999999996</v>
      </c>
      <c r="U37">
        <v>105.324369750545</v>
      </c>
      <c r="V37">
        <v>179.40682233590499</v>
      </c>
      <c r="W37">
        <v>0.22132036982351999</v>
      </c>
      <c r="X37">
        <v>0.19427954501920899</v>
      </c>
      <c r="Y37">
        <v>0.16869519998862501</v>
      </c>
      <c r="Z37">
        <v>142.96225518831801</v>
      </c>
      <c r="AC37" s="49">
        <v>0.82499999999999996</v>
      </c>
      <c r="AD37">
        <v>121.18669919132201</v>
      </c>
      <c r="AE37">
        <v>279.18458717620302</v>
      </c>
      <c r="AF37">
        <v>0.30805148403278898</v>
      </c>
      <c r="AG37">
        <v>0.26822800568873501</v>
      </c>
      <c r="AH37">
        <v>0.23122217990356</v>
      </c>
      <c r="AI37">
        <v>162.29042112294201</v>
      </c>
    </row>
    <row r="38" spans="1:35" x14ac:dyDescent="0.35">
      <c r="A38" s="9"/>
      <c r="B38" s="9">
        <v>0.96399999999999997</v>
      </c>
      <c r="C38" s="9">
        <v>185.76407370988801</v>
      </c>
      <c r="D38" s="9">
        <v>435.06197819500801</v>
      </c>
      <c r="E38" s="9">
        <v>0.47438356850133001</v>
      </c>
      <c r="F38" s="9">
        <v>0.41164321898755801</v>
      </c>
      <c r="G38" s="9">
        <v>0.35006773878106601</v>
      </c>
      <c r="H38" s="9">
        <v>251.19120277118401</v>
      </c>
      <c r="J38">
        <v>0.82</v>
      </c>
      <c r="K38" s="49">
        <v>0.82</v>
      </c>
      <c r="L38">
        <v>98.794457579319001</v>
      </c>
      <c r="M38">
        <v>172.53500977985999</v>
      </c>
      <c r="N38">
        <v>0.19298914956470301</v>
      </c>
      <c r="O38">
        <v>0.17123319016105801</v>
      </c>
      <c r="P38">
        <v>0.14877794640265399</v>
      </c>
      <c r="S38">
        <v>0.82</v>
      </c>
      <c r="T38">
        <v>0.82</v>
      </c>
      <c r="U38">
        <v>100.220061407616</v>
      </c>
      <c r="V38">
        <v>171.37009186755199</v>
      </c>
      <c r="W38">
        <v>0.21165138489861501</v>
      </c>
      <c r="X38">
        <v>0.185896577391988</v>
      </c>
      <c r="Y38">
        <v>0.16130734371830199</v>
      </c>
      <c r="Z38">
        <v>137.020865073408</v>
      </c>
      <c r="AB38">
        <v>0.82</v>
      </c>
      <c r="AC38" s="49">
        <v>0.82</v>
      </c>
      <c r="AD38">
        <v>112.490066904054</v>
      </c>
      <c r="AE38">
        <v>264.64166682013399</v>
      </c>
      <c r="AF38">
        <v>0.29359348736907698</v>
      </c>
      <c r="AG38">
        <v>0.25421037450239198</v>
      </c>
      <c r="AH38">
        <v>0.21803715608534899</v>
      </c>
      <c r="AI38">
        <v>152.81067655744201</v>
      </c>
    </row>
    <row r="39" spans="1:35" x14ac:dyDescent="0.35">
      <c r="A39" s="9"/>
      <c r="B39" s="9">
        <v>0.96299999999999997</v>
      </c>
      <c r="C39" s="9">
        <v>181.49414254570999</v>
      </c>
      <c r="D39" s="9">
        <v>427.75063913576997</v>
      </c>
      <c r="E39" s="9">
        <v>0.46856594356208198</v>
      </c>
      <c r="F39" s="9">
        <v>0.40550102205899302</v>
      </c>
      <c r="G39" s="9">
        <v>0.34404349303635701</v>
      </c>
      <c r="H39" s="9">
        <v>245.70433698950799</v>
      </c>
      <c r="K39" s="49">
        <v>0.81499999999999995</v>
      </c>
      <c r="L39">
        <v>85.471912317077496</v>
      </c>
      <c r="M39">
        <v>153.84458399163299</v>
      </c>
      <c r="N39">
        <v>0.17768827469069501</v>
      </c>
      <c r="O39">
        <v>0.15676447784827799</v>
      </c>
      <c r="P39">
        <v>0.13499324188814499</v>
      </c>
      <c r="T39">
        <v>0.81499999999999995</v>
      </c>
      <c r="U39">
        <v>95.115753064686203</v>
      </c>
      <c r="V39">
        <v>163.333361399198</v>
      </c>
      <c r="W39">
        <v>0.20198239997371001</v>
      </c>
      <c r="X39">
        <v>0.17751360976476599</v>
      </c>
      <c r="Y39">
        <v>0.15391948744797901</v>
      </c>
      <c r="Z39">
        <v>131.079474958498</v>
      </c>
      <c r="AC39" s="49">
        <v>0.81499999999999995</v>
      </c>
      <c r="AD39">
        <v>103.793434616786</v>
      </c>
      <c r="AE39">
        <v>250.09874646406399</v>
      </c>
      <c r="AF39">
        <v>0.27913549070536398</v>
      </c>
      <c r="AG39">
        <v>0.24019274331604901</v>
      </c>
      <c r="AH39">
        <v>0.204852132267136</v>
      </c>
      <c r="AI39">
        <v>143.33093199194099</v>
      </c>
    </row>
    <row r="40" spans="1:35" x14ac:dyDescent="0.35">
      <c r="A40" s="9"/>
      <c r="B40" s="9">
        <v>0.96199999999999997</v>
      </c>
      <c r="C40" s="9">
        <v>177.22390455263499</v>
      </c>
      <c r="D40" s="9">
        <v>420.05910208278601</v>
      </c>
      <c r="E40" s="9">
        <v>0.46253518189514198</v>
      </c>
      <c r="F40" s="9">
        <v>0.399077237160822</v>
      </c>
      <c r="G40" s="9">
        <v>0.33788886589072298</v>
      </c>
      <c r="H40" s="9">
        <v>240.148688668364</v>
      </c>
      <c r="K40" s="49">
        <v>0.81</v>
      </c>
      <c r="L40">
        <v>82.449489140981697</v>
      </c>
      <c r="M40">
        <v>149.47092169333499</v>
      </c>
      <c r="N40">
        <v>0.1729733134067</v>
      </c>
      <c r="O40">
        <v>0.15221617741067101</v>
      </c>
      <c r="P40">
        <v>0.13116268221877</v>
      </c>
      <c r="T40">
        <v>0.81</v>
      </c>
      <c r="U40">
        <v>90.011444721756803</v>
      </c>
      <c r="V40">
        <v>155.296630930845</v>
      </c>
      <c r="W40">
        <v>0.192313415048806</v>
      </c>
      <c r="X40">
        <v>0.169130642137545</v>
      </c>
      <c r="Y40">
        <v>0.146531631177657</v>
      </c>
      <c r="Z40">
        <v>125.138084843589</v>
      </c>
      <c r="AC40" s="49">
        <v>0.81</v>
      </c>
      <c r="AD40">
        <v>95.096802329517899</v>
      </c>
      <c r="AE40">
        <v>235.55582610799499</v>
      </c>
      <c r="AF40">
        <v>0.26467749404165197</v>
      </c>
      <c r="AG40">
        <v>0.22617511212970601</v>
      </c>
      <c r="AH40">
        <v>0.19166710844892401</v>
      </c>
      <c r="AI40">
        <v>133.85118742643999</v>
      </c>
    </row>
    <row r="41" spans="1:35" x14ac:dyDescent="0.35">
      <c r="A41" s="9"/>
      <c r="B41" s="9">
        <v>0.96099999999999997</v>
      </c>
      <c r="C41" s="9">
        <v>172.893637085021</v>
      </c>
      <c r="D41" s="9">
        <v>411.65431646770901</v>
      </c>
      <c r="E41" s="9">
        <v>0.456068179797394</v>
      </c>
      <c r="F41" s="9">
        <v>0.39219993832042999</v>
      </c>
      <c r="G41" s="9">
        <v>0.331531163599526</v>
      </c>
      <c r="H41" s="9">
        <v>234.44168871835001</v>
      </c>
      <c r="K41" s="49">
        <v>0.80500000000000005</v>
      </c>
      <c r="L41">
        <v>81.0123401148592</v>
      </c>
      <c r="M41">
        <v>147.30072794444399</v>
      </c>
      <c r="N41">
        <v>0.16988761195358301</v>
      </c>
      <c r="O41">
        <v>0.14919471057476999</v>
      </c>
      <c r="P41">
        <v>0.128864147934736</v>
      </c>
      <c r="T41">
        <v>0.80500000000000005</v>
      </c>
      <c r="U41">
        <v>84.907136378827104</v>
      </c>
      <c r="V41">
        <v>147.259900462491</v>
      </c>
      <c r="W41">
        <v>0.182644430123901</v>
      </c>
      <c r="X41">
        <v>0.16074767451032401</v>
      </c>
      <c r="Y41">
        <v>0.13914377490733401</v>
      </c>
      <c r="Z41">
        <v>119.19669472867901</v>
      </c>
      <c r="AC41" s="49">
        <v>0.80500000000000005</v>
      </c>
      <c r="AD41">
        <v>87.067263097308</v>
      </c>
      <c r="AE41">
        <v>221.86504401235899</v>
      </c>
      <c r="AF41">
        <v>0.250928630291403</v>
      </c>
      <c r="AG41">
        <v>0.21292318825665901</v>
      </c>
      <c r="AH41">
        <v>0.17929770647943699</v>
      </c>
      <c r="AI41">
        <v>124.91212265554201</v>
      </c>
    </row>
    <row r="42" spans="1:35" x14ac:dyDescent="0.35">
      <c r="A42" s="9">
        <v>0.96</v>
      </c>
      <c r="B42" s="9">
        <v>0.96</v>
      </c>
      <c r="C42" s="9">
        <v>168.41162032553601</v>
      </c>
      <c r="D42" s="9">
        <v>402.88135329662299</v>
      </c>
      <c r="E42" s="9">
        <v>0.44919574830040399</v>
      </c>
      <c r="F42" s="9">
        <v>0.38505532776974799</v>
      </c>
      <c r="G42" s="9">
        <v>0.32485908136295899</v>
      </c>
      <c r="H42" s="9">
        <v>228.455434213346</v>
      </c>
      <c r="J42" s="42">
        <v>0.8</v>
      </c>
      <c r="K42" s="49">
        <v>0.8</v>
      </c>
      <c r="L42">
        <v>79.575191088736702</v>
      </c>
      <c r="M42">
        <v>145.130534195552</v>
      </c>
      <c r="N42">
        <v>0.166801910500467</v>
      </c>
      <c r="O42">
        <v>0.146173243738868</v>
      </c>
      <c r="P42">
        <v>0.12656561365070099</v>
      </c>
      <c r="S42" s="42">
        <v>0.8</v>
      </c>
      <c r="T42">
        <v>0.8</v>
      </c>
      <c r="U42">
        <v>79.802828035897605</v>
      </c>
      <c r="V42">
        <v>139.223169994138</v>
      </c>
      <c r="W42">
        <v>0.17297544519899699</v>
      </c>
      <c r="X42">
        <v>0.152364706883102</v>
      </c>
      <c r="Y42">
        <v>0.131755918637011</v>
      </c>
      <c r="Z42">
        <v>113.25530461376999</v>
      </c>
      <c r="AB42" s="42">
        <v>0.8</v>
      </c>
      <c r="AC42" s="49">
        <v>0.8</v>
      </c>
      <c r="AD42">
        <v>83.230699694335499</v>
      </c>
      <c r="AE42">
        <v>213.53032896325001</v>
      </c>
      <c r="AF42">
        <v>0.241636981532867</v>
      </c>
      <c r="AG42">
        <v>0.20448407457939899</v>
      </c>
      <c r="AH42">
        <v>0.17205484970716101</v>
      </c>
      <c r="AI42">
        <v>119.37147028443199</v>
      </c>
    </row>
    <row r="43" spans="1:35" x14ac:dyDescent="0.35">
      <c r="A43" s="9"/>
      <c r="B43" s="9">
        <v>0.95899999999999996</v>
      </c>
      <c r="C43" s="9">
        <v>163.67498632009199</v>
      </c>
      <c r="D43" s="9">
        <v>394.12074135890202</v>
      </c>
      <c r="E43" s="9">
        <v>0.44175814484996601</v>
      </c>
      <c r="F43" s="9">
        <v>0.37756362992651799</v>
      </c>
      <c r="G43" s="9">
        <v>0.31775390781836699</v>
      </c>
      <c r="H43" s="9">
        <v>222.04900382391401</v>
      </c>
      <c r="K43" s="49">
        <v>0.79500000000000004</v>
      </c>
      <c r="L43">
        <v>78.138042062614204</v>
      </c>
      <c r="M43">
        <v>142.96034044666001</v>
      </c>
      <c r="N43">
        <v>0.16371620904734999</v>
      </c>
      <c r="O43">
        <v>0.14315177690296699</v>
      </c>
      <c r="P43">
        <v>0.124267079366667</v>
      </c>
      <c r="T43">
        <v>0.79500000000000004</v>
      </c>
      <c r="U43">
        <v>75.758468084194703</v>
      </c>
      <c r="V43">
        <v>131.77338133406201</v>
      </c>
      <c r="W43">
        <v>0.164360403799685</v>
      </c>
      <c r="X43">
        <v>0.14482809817713899</v>
      </c>
      <c r="Y43">
        <v>0.12512355059262001</v>
      </c>
      <c r="Z43">
        <v>105.58362697333099</v>
      </c>
      <c r="AC43" s="49">
        <v>0.79500000000000004</v>
      </c>
      <c r="AD43">
        <v>79.394136291362898</v>
      </c>
      <c r="AE43">
        <v>205.19561391414001</v>
      </c>
      <c r="AF43">
        <v>0.23234533277433</v>
      </c>
      <c r="AG43">
        <v>0.19604496090213799</v>
      </c>
      <c r="AH43">
        <v>0.16481199293488399</v>
      </c>
      <c r="AI43">
        <v>113.830817913323</v>
      </c>
    </row>
    <row r="44" spans="1:35" x14ac:dyDescent="0.35">
      <c r="A44" s="9"/>
      <c r="B44" s="9">
        <v>0.95799999999999996</v>
      </c>
      <c r="C44" s="9">
        <v>158.70070273209899</v>
      </c>
      <c r="D44" s="9">
        <v>384.69330310299802</v>
      </c>
      <c r="E44" s="9">
        <v>0.43354858708664101</v>
      </c>
      <c r="F44" s="9">
        <v>0.36942257080961499</v>
      </c>
      <c r="G44" s="9">
        <v>0.31025331813691098</v>
      </c>
      <c r="H44" s="9">
        <v>215.256183063751</v>
      </c>
      <c r="K44" s="49">
        <v>0.79</v>
      </c>
      <c r="L44">
        <v>72.150505567121996</v>
      </c>
      <c r="M44">
        <v>132.81525140176899</v>
      </c>
      <c r="N44">
        <v>0.15269633451894701</v>
      </c>
      <c r="O44">
        <v>0.133062082013054</v>
      </c>
      <c r="P44">
        <v>0.11535252534984899</v>
      </c>
      <c r="T44">
        <v>0.79</v>
      </c>
      <c r="U44">
        <v>71.721257688739996</v>
      </c>
      <c r="V44">
        <v>124.327551709641</v>
      </c>
      <c r="W44">
        <v>0.15575247145264501</v>
      </c>
      <c r="X44">
        <v>0.13729719832526999</v>
      </c>
      <c r="Y44">
        <v>0.11849627846196401</v>
      </c>
      <c r="Z44">
        <v>97.900278209947899</v>
      </c>
      <c r="AC44" s="49">
        <v>0.79</v>
      </c>
      <c r="AD44">
        <v>75.557572888390496</v>
      </c>
      <c r="AE44">
        <v>196.86089886503001</v>
      </c>
      <c r="AF44">
        <v>0.22305368401579401</v>
      </c>
      <c r="AG44">
        <v>0.187605847224878</v>
      </c>
      <c r="AH44">
        <v>0.15756913616260701</v>
      </c>
      <c r="AI44">
        <v>108.290165542214</v>
      </c>
    </row>
    <row r="45" spans="1:35" x14ac:dyDescent="0.35">
      <c r="A45" s="9"/>
      <c r="B45" s="9">
        <v>0.95699999999999996</v>
      </c>
      <c r="C45" s="9">
        <v>154.10472693627599</v>
      </c>
      <c r="D45" s="9">
        <v>375.03530719357701</v>
      </c>
      <c r="E45" s="9">
        <v>0.425526874302322</v>
      </c>
      <c r="F45" s="9">
        <v>0.36134583632904099</v>
      </c>
      <c r="G45" s="9">
        <v>0.30255394558756799</v>
      </c>
      <c r="H45" s="9">
        <v>208.74053800900501</v>
      </c>
      <c r="K45" s="49">
        <v>0.78500000000000003</v>
      </c>
      <c r="L45">
        <v>62.8767783896376</v>
      </c>
      <c r="M45">
        <v>116.910866739089</v>
      </c>
      <c r="N45">
        <v>0.135946573073258</v>
      </c>
      <c r="O45">
        <v>0.11786786683214601</v>
      </c>
      <c r="P45">
        <v>0.101660026038459</v>
      </c>
      <c r="T45">
        <v>0.78500000000000003</v>
      </c>
      <c r="U45">
        <v>67.684047293285104</v>
      </c>
      <c r="V45">
        <v>116.88172208522001</v>
      </c>
      <c r="W45">
        <v>0.14714453910560499</v>
      </c>
      <c r="X45">
        <v>0.12976629847340199</v>
      </c>
      <c r="Y45">
        <v>0.111869006331308</v>
      </c>
      <c r="Z45">
        <v>90.216929446564507</v>
      </c>
      <c r="AC45" s="49">
        <v>0.78500000000000003</v>
      </c>
      <c r="AD45">
        <v>71.721009485417994</v>
      </c>
      <c r="AE45">
        <v>188.526183815921</v>
      </c>
      <c r="AF45">
        <v>0.21376203525725701</v>
      </c>
      <c r="AG45">
        <v>0.179166733547618</v>
      </c>
      <c r="AH45">
        <v>0.15032627939033</v>
      </c>
      <c r="AI45">
        <v>102.74951317110499</v>
      </c>
    </row>
    <row r="46" spans="1:35" x14ac:dyDescent="0.35">
      <c r="A46" s="9"/>
      <c r="B46" s="9">
        <v>0.95599999999999996</v>
      </c>
      <c r="C46" s="9">
        <v>150.00966141106301</v>
      </c>
      <c r="D46" s="9">
        <v>364.82418947833497</v>
      </c>
      <c r="E46" s="9">
        <v>0.41715074728229701</v>
      </c>
      <c r="F46" s="9">
        <v>0.35284602835009499</v>
      </c>
      <c r="G46" s="9">
        <v>0.29513045999798099</v>
      </c>
      <c r="H46" s="9">
        <v>202.74908486817199</v>
      </c>
      <c r="J46">
        <v>0.78</v>
      </c>
      <c r="K46" s="49">
        <v>0.78</v>
      </c>
      <c r="L46">
        <v>53.603051212153197</v>
      </c>
      <c r="M46">
        <v>101.00648207640999</v>
      </c>
      <c r="N46">
        <v>0.11919681162757</v>
      </c>
      <c r="O46">
        <v>0.102673651651239</v>
      </c>
      <c r="P46">
        <v>8.7967526727069395E-2</v>
      </c>
      <c r="S46">
        <v>0.78</v>
      </c>
      <c r="T46">
        <v>0.78</v>
      </c>
      <c r="U46">
        <v>63.646836897830298</v>
      </c>
      <c r="V46">
        <v>109.435892460799</v>
      </c>
      <c r="W46">
        <v>0.138536606758564</v>
      </c>
      <c r="X46">
        <v>0.122235398621533</v>
      </c>
      <c r="Y46">
        <v>0.105241734200653</v>
      </c>
      <c r="Z46">
        <v>82.5335806831811</v>
      </c>
      <c r="AB46">
        <v>0.78</v>
      </c>
      <c r="AC46" s="49">
        <v>0.78</v>
      </c>
      <c r="AD46">
        <v>67.884446082445393</v>
      </c>
      <c r="AE46">
        <v>180.191468766811</v>
      </c>
      <c r="AF46">
        <v>0.20447038649872101</v>
      </c>
      <c r="AG46">
        <v>0.17072761987035701</v>
      </c>
      <c r="AH46">
        <v>0.14308342261805301</v>
      </c>
      <c r="AI46">
        <v>97.208860799995406</v>
      </c>
    </row>
    <row r="47" spans="1:35" x14ac:dyDescent="0.35">
      <c r="A47" s="9"/>
      <c r="B47" s="9">
        <v>0.95499999999999996</v>
      </c>
      <c r="C47" s="9">
        <v>146.114467308489</v>
      </c>
      <c r="D47" s="9">
        <v>355.03844354392902</v>
      </c>
      <c r="E47" s="9">
        <v>0.40873199116312497</v>
      </c>
      <c r="F47" s="9">
        <v>0.34442631723867101</v>
      </c>
      <c r="G47" s="9">
        <v>0.28812093327365101</v>
      </c>
      <c r="H47" s="9">
        <v>197.07019687704701</v>
      </c>
      <c r="K47" s="49">
        <v>0.77500000000000002</v>
      </c>
      <c r="L47">
        <v>44.329324034668701</v>
      </c>
      <c r="M47">
        <v>85.102097413730903</v>
      </c>
      <c r="N47">
        <v>0.10244705018188199</v>
      </c>
      <c r="O47">
        <v>8.7479436470330796E-2</v>
      </c>
      <c r="P47">
        <v>7.4275027415679706E-2</v>
      </c>
      <c r="T47">
        <v>0.77500000000000002</v>
      </c>
      <c r="U47">
        <v>59.609626502375498</v>
      </c>
      <c r="V47">
        <v>101.990062836378</v>
      </c>
      <c r="W47">
        <v>0.129928674411524</v>
      </c>
      <c r="X47">
        <v>0.114704498769665</v>
      </c>
      <c r="Y47">
        <v>9.86144620699968E-2</v>
      </c>
      <c r="Z47">
        <v>74.850231919797693</v>
      </c>
      <c r="AC47" s="49">
        <v>0.77500000000000002</v>
      </c>
      <c r="AD47">
        <v>64.047882679472906</v>
      </c>
      <c r="AE47">
        <v>171.856753717701</v>
      </c>
      <c r="AF47">
        <v>0.19517873774018399</v>
      </c>
      <c r="AG47">
        <v>0.16228850619309701</v>
      </c>
      <c r="AH47">
        <v>0.135840565845776</v>
      </c>
      <c r="AI47">
        <v>91.668208428886103</v>
      </c>
    </row>
    <row r="48" spans="1:35" x14ac:dyDescent="0.35">
      <c r="A48" s="9"/>
      <c r="B48" s="9">
        <v>0.95399999999999996</v>
      </c>
      <c r="C48" s="9">
        <v>141.440776554221</v>
      </c>
      <c r="D48" s="9">
        <v>346.341124401375</v>
      </c>
      <c r="E48" s="9">
        <v>0.400580581114649</v>
      </c>
      <c r="F48" s="9">
        <v>0.33664194994377</v>
      </c>
      <c r="G48" s="9">
        <v>0.28043885519635198</v>
      </c>
      <c r="H48" s="9">
        <v>190.43596060419199</v>
      </c>
      <c r="K48" s="49">
        <v>0.77</v>
      </c>
      <c r="L48">
        <v>37.527016040703103</v>
      </c>
      <c r="M48">
        <v>73.629574561239494</v>
      </c>
      <c r="N48">
        <v>9.1308592386271398E-2</v>
      </c>
      <c r="O48">
        <v>7.7436657991990496E-2</v>
      </c>
      <c r="P48">
        <v>6.5054750140366796E-2</v>
      </c>
      <c r="T48">
        <v>0.77</v>
      </c>
      <c r="U48">
        <v>55.586025603477303</v>
      </c>
      <c r="V48">
        <v>94.872391430906006</v>
      </c>
      <c r="W48">
        <v>0.122073066260675</v>
      </c>
      <c r="X48">
        <v>0.10763948579032399</v>
      </c>
      <c r="Y48">
        <v>9.2493219025864701E-2</v>
      </c>
      <c r="Z48">
        <v>68.993626324878605</v>
      </c>
      <c r="AC48" s="49">
        <v>0.77</v>
      </c>
      <c r="AD48">
        <v>60.211319276500397</v>
      </c>
      <c r="AE48">
        <v>163.52203866859099</v>
      </c>
      <c r="AF48">
        <v>0.18588708898164799</v>
      </c>
      <c r="AG48">
        <v>0.15384939251583599</v>
      </c>
      <c r="AH48">
        <v>0.12859770907349899</v>
      </c>
      <c r="AI48">
        <v>86.1275560577769</v>
      </c>
    </row>
    <row r="49" spans="1:35" x14ac:dyDescent="0.35">
      <c r="A49" s="9"/>
      <c r="B49" s="9">
        <v>0.95299999999999996</v>
      </c>
      <c r="C49" s="9">
        <v>137.03454262413001</v>
      </c>
      <c r="D49" s="9">
        <v>338.61765071525599</v>
      </c>
      <c r="E49" s="9">
        <v>0.39303351376870499</v>
      </c>
      <c r="F49" s="9">
        <v>0.32963759096599599</v>
      </c>
      <c r="G49" s="9">
        <v>0.27283714172926599</v>
      </c>
      <c r="H49" s="9">
        <v>184.04327394078101</v>
      </c>
      <c r="K49" s="49">
        <v>0.76500000000000001</v>
      </c>
      <c r="L49">
        <v>33.056824691243598</v>
      </c>
      <c r="M49">
        <v>66.339109840616501</v>
      </c>
      <c r="N49">
        <v>8.54651548474403E-2</v>
      </c>
      <c r="O49">
        <v>7.2254953408881495E-2</v>
      </c>
      <c r="P49">
        <v>6.0054616302401297E-2</v>
      </c>
      <c r="T49">
        <v>0.76500000000000001</v>
      </c>
      <c r="U49">
        <v>51.569429410622597</v>
      </c>
      <c r="V49">
        <v>87.923620605256204</v>
      </c>
      <c r="W49">
        <v>0.114604673744279</v>
      </c>
      <c r="X49">
        <v>0.10081426129823801</v>
      </c>
      <c r="Y49">
        <v>8.6632425366162599E-2</v>
      </c>
      <c r="Z49">
        <v>64.077231770014393</v>
      </c>
      <c r="AC49" s="49">
        <v>0.76500000000000001</v>
      </c>
      <c r="AD49">
        <v>56.121361526155198</v>
      </c>
      <c r="AE49">
        <v>153.300938097065</v>
      </c>
      <c r="AF49">
        <v>0.17606514583239799</v>
      </c>
      <c r="AG49">
        <v>0.145173060139968</v>
      </c>
      <c r="AH49">
        <v>0.120832251591735</v>
      </c>
      <c r="AI49">
        <v>80.938929726293395</v>
      </c>
    </row>
    <row r="50" spans="1:35" x14ac:dyDescent="0.35">
      <c r="A50" s="9"/>
      <c r="B50" s="9">
        <v>0.95199999999999996</v>
      </c>
      <c r="C50" s="9">
        <v>133.52594716811601</v>
      </c>
      <c r="D50" s="9">
        <v>331.38823598823399</v>
      </c>
      <c r="E50" s="9">
        <v>0.38595799852421098</v>
      </c>
      <c r="F50" s="9">
        <v>0.32306992849512101</v>
      </c>
      <c r="G50" s="9">
        <v>0.26622030410780001</v>
      </c>
      <c r="H50" s="9">
        <v>178.81283332863899</v>
      </c>
      <c r="J50">
        <v>0.76</v>
      </c>
      <c r="K50" s="49">
        <v>0.76</v>
      </c>
      <c r="L50">
        <v>28.586633341784101</v>
      </c>
      <c r="M50">
        <v>59.048645119993601</v>
      </c>
      <c r="N50">
        <v>7.9621717308609105E-2</v>
      </c>
      <c r="O50">
        <v>6.7073248825772494E-2</v>
      </c>
      <c r="P50">
        <v>5.5054482464435797E-2</v>
      </c>
      <c r="S50">
        <v>0.76</v>
      </c>
      <c r="T50">
        <v>0.76</v>
      </c>
      <c r="U50">
        <v>47.552833217767798</v>
      </c>
      <c r="V50">
        <v>80.974849779606302</v>
      </c>
      <c r="W50">
        <v>0.107136281227884</v>
      </c>
      <c r="X50">
        <v>9.3989036806151102E-2</v>
      </c>
      <c r="Y50">
        <v>8.0771631706460595E-2</v>
      </c>
      <c r="Z50">
        <v>59.160837215150103</v>
      </c>
      <c r="AB50">
        <v>0.76</v>
      </c>
      <c r="AC50" s="49">
        <v>0.76</v>
      </c>
      <c r="AD50">
        <v>51.973058608182598</v>
      </c>
      <c r="AE50">
        <v>142.64548892756801</v>
      </c>
      <c r="AF50">
        <v>0.16612110005758199</v>
      </c>
      <c r="AG50">
        <v>0.13644210711104299</v>
      </c>
      <c r="AH50">
        <v>0.112946462988486</v>
      </c>
      <c r="AI50">
        <v>75.831358945196598</v>
      </c>
    </row>
    <row r="51" spans="1:35" x14ac:dyDescent="0.35">
      <c r="A51" s="9"/>
      <c r="B51" s="9">
        <v>0.95099999999999996</v>
      </c>
      <c r="C51" s="9">
        <v>131.30391767709401</v>
      </c>
      <c r="D51" s="9">
        <v>323.891564763698</v>
      </c>
      <c r="E51" s="9">
        <v>0.37865853395591498</v>
      </c>
      <c r="F51" s="9">
        <v>0.31617302107204198</v>
      </c>
      <c r="G51" s="9">
        <v>0.26146302235749203</v>
      </c>
      <c r="H51" s="9">
        <v>175.384534635558</v>
      </c>
      <c r="K51" s="49">
        <v>0.755</v>
      </c>
      <c r="L51">
        <v>24.116441992324699</v>
      </c>
      <c r="M51">
        <v>51.758180399370602</v>
      </c>
      <c r="N51">
        <v>7.3778279769777994E-2</v>
      </c>
      <c r="O51">
        <v>6.18915442426635E-2</v>
      </c>
      <c r="P51">
        <v>5.0054348626470402E-2</v>
      </c>
      <c r="T51">
        <v>0.755</v>
      </c>
      <c r="U51">
        <v>43.536237024913099</v>
      </c>
      <c r="V51">
        <v>74.0260789539565</v>
      </c>
      <c r="W51">
        <v>9.9667888711487601E-2</v>
      </c>
      <c r="X51">
        <v>8.7163812314064407E-2</v>
      </c>
      <c r="Y51">
        <v>7.4910838046758493E-2</v>
      </c>
      <c r="Z51">
        <v>54.244442660285799</v>
      </c>
      <c r="AC51" s="49">
        <v>0.755</v>
      </c>
      <c r="AD51">
        <v>47.824755690209997</v>
      </c>
      <c r="AE51">
        <v>131.99003975807</v>
      </c>
      <c r="AF51">
        <v>0.15617705428276599</v>
      </c>
      <c r="AG51">
        <v>0.127711154082117</v>
      </c>
      <c r="AH51">
        <v>0.105060674385237</v>
      </c>
      <c r="AI51">
        <v>70.723788164099901</v>
      </c>
    </row>
    <row r="52" spans="1:35" x14ac:dyDescent="0.35">
      <c r="A52" s="9">
        <v>0.95</v>
      </c>
      <c r="B52" s="9">
        <v>0.95</v>
      </c>
      <c r="C52" s="9">
        <v>129.62934598016599</v>
      </c>
      <c r="D52" s="9">
        <v>317.79070454184</v>
      </c>
      <c r="E52" s="9">
        <v>0.37232310603296298</v>
      </c>
      <c r="F52" s="9">
        <v>0.31038038690532199</v>
      </c>
      <c r="G52" s="9">
        <v>0.25774370999651702</v>
      </c>
      <c r="H52" s="9">
        <v>172.80332491842401</v>
      </c>
      <c r="K52" s="49">
        <v>0.75</v>
      </c>
      <c r="L52">
        <v>21.4420372409405</v>
      </c>
      <c r="M52">
        <v>46.676180941433103</v>
      </c>
      <c r="N52">
        <v>6.7907992270970594E-2</v>
      </c>
      <c r="O52">
        <v>5.6631873913063797E-2</v>
      </c>
      <c r="P52">
        <v>4.56562530927003E-2</v>
      </c>
      <c r="T52">
        <v>0.75</v>
      </c>
      <c r="U52">
        <v>39.5196408320583</v>
      </c>
      <c r="V52">
        <v>67.077308128306697</v>
      </c>
      <c r="W52">
        <v>9.2199496195091601E-2</v>
      </c>
      <c r="X52">
        <v>8.0338587821977794E-2</v>
      </c>
      <c r="Y52">
        <v>6.9050044387056406E-2</v>
      </c>
      <c r="Z52">
        <v>49.328048105421502</v>
      </c>
      <c r="AC52" s="49">
        <v>0.75</v>
      </c>
      <c r="AD52">
        <v>43.676452772237397</v>
      </c>
      <c r="AE52">
        <v>121.334590588572</v>
      </c>
      <c r="AF52">
        <v>0.14623300850794901</v>
      </c>
      <c r="AG52">
        <v>0.118980201053192</v>
      </c>
      <c r="AH52">
        <v>9.7174885781987894E-2</v>
      </c>
      <c r="AI52">
        <v>65.616217383003104</v>
      </c>
    </row>
    <row r="53" spans="1:35" x14ac:dyDescent="0.35">
      <c r="A53" s="9"/>
      <c r="B53" s="9">
        <v>0.94899999999999995</v>
      </c>
      <c r="C53" s="9">
        <v>127.408342844572</v>
      </c>
      <c r="D53" s="9">
        <v>313.06132284967202</v>
      </c>
      <c r="E53" s="9">
        <v>0.36705746064378902</v>
      </c>
      <c r="F53" s="9">
        <v>0.30583015661117602</v>
      </c>
      <c r="G53" s="9">
        <v>0.25294901050144403</v>
      </c>
      <c r="H53" s="9">
        <v>169.33956184785899</v>
      </c>
      <c r="K53" s="49">
        <v>0.745</v>
      </c>
      <c r="L53">
        <v>19.727726002704198</v>
      </c>
      <c r="M53">
        <v>42.774908177296098</v>
      </c>
      <c r="N53">
        <v>6.20233497967842E-2</v>
      </c>
      <c r="O53">
        <v>5.1330520230033497E-2</v>
      </c>
      <c r="P53">
        <v>4.1580029362152403E-2</v>
      </c>
      <c r="T53">
        <v>0.745</v>
      </c>
      <c r="U53">
        <v>36.609251808388301</v>
      </c>
      <c r="V53">
        <v>62.449777427946998</v>
      </c>
      <c r="W53">
        <v>8.6882206598577802E-2</v>
      </c>
      <c r="X53">
        <v>7.5464739842620199E-2</v>
      </c>
      <c r="Y53">
        <v>6.4698219984234195E-2</v>
      </c>
      <c r="Z53">
        <v>46.150216420368999</v>
      </c>
      <c r="AC53" s="49">
        <v>0.745</v>
      </c>
      <c r="AD53">
        <v>39.528149854264797</v>
      </c>
      <c r="AE53">
        <v>110.679141419074</v>
      </c>
      <c r="AF53">
        <v>0.13628896273313301</v>
      </c>
      <c r="AG53">
        <v>0.110249248024266</v>
      </c>
      <c r="AH53">
        <v>8.9289097178738897E-2</v>
      </c>
      <c r="AI53">
        <v>60.508646601906399</v>
      </c>
    </row>
    <row r="54" spans="1:35" x14ac:dyDescent="0.35">
      <c r="A54" s="9"/>
      <c r="B54" s="9">
        <v>0.94799999999999995</v>
      </c>
      <c r="C54" s="9">
        <v>125.57213507588899</v>
      </c>
      <c r="D54" s="9">
        <v>309.41851886477701</v>
      </c>
      <c r="E54" s="9">
        <v>0.36269348058459799</v>
      </c>
      <c r="F54" s="9">
        <v>0.30231466829732301</v>
      </c>
      <c r="G54" s="9">
        <v>0.248301716092729</v>
      </c>
      <c r="H54" s="9">
        <v>166.22003588726099</v>
      </c>
      <c r="J54">
        <v>0.74</v>
      </c>
      <c r="K54" s="49">
        <v>0.74</v>
      </c>
      <c r="L54">
        <v>18.013414764467999</v>
      </c>
      <c r="M54">
        <v>38.873635413159199</v>
      </c>
      <c r="N54">
        <v>5.6138707322597799E-2</v>
      </c>
      <c r="O54">
        <v>4.60291665470033E-2</v>
      </c>
      <c r="P54">
        <v>3.7503805631604402E-2</v>
      </c>
      <c r="S54">
        <v>0.74</v>
      </c>
      <c r="T54">
        <v>0.74</v>
      </c>
      <c r="U54">
        <v>34.240857488685599</v>
      </c>
      <c r="V54">
        <v>58.959556166171801</v>
      </c>
      <c r="W54">
        <v>8.2618866409319994E-2</v>
      </c>
      <c r="X54">
        <v>7.1546983782396406E-2</v>
      </c>
      <c r="Y54">
        <v>6.1085726665553397E-2</v>
      </c>
      <c r="Z54">
        <v>43.824206974587099</v>
      </c>
      <c r="AB54">
        <v>0.74</v>
      </c>
      <c r="AC54" s="49">
        <v>0.74</v>
      </c>
      <c r="AD54">
        <v>35.379846936292203</v>
      </c>
      <c r="AE54">
        <v>100.023692249576</v>
      </c>
      <c r="AF54">
        <v>0.12634491695831601</v>
      </c>
      <c r="AG54">
        <v>0.101518294995341</v>
      </c>
      <c r="AH54">
        <v>8.1403308575489802E-2</v>
      </c>
      <c r="AI54">
        <v>55.401075820809702</v>
      </c>
    </row>
    <row r="55" spans="1:35" x14ac:dyDescent="0.35">
      <c r="A55" s="9"/>
      <c r="B55" s="9">
        <v>0.94699999999999995</v>
      </c>
      <c r="C55" s="9">
        <v>124.473313091493</v>
      </c>
      <c r="D55" s="9">
        <v>306.65051631106098</v>
      </c>
      <c r="E55" s="9">
        <v>0.35908273320364098</v>
      </c>
      <c r="F55" s="9">
        <v>0.29956188388238902</v>
      </c>
      <c r="G55" s="9">
        <v>0.244711139263839</v>
      </c>
      <c r="H55" s="9">
        <v>164.150617134421</v>
      </c>
      <c r="K55" s="49">
        <v>0.73499999999999999</v>
      </c>
      <c r="L55">
        <v>16.2991035262318</v>
      </c>
      <c r="M55">
        <v>34.972362649022301</v>
      </c>
      <c r="N55">
        <v>5.0254064848411398E-2</v>
      </c>
      <c r="O55">
        <v>4.0727812863972999E-2</v>
      </c>
      <c r="P55">
        <v>3.3427581901056401E-2</v>
      </c>
      <c r="T55">
        <v>0.73499999999999999</v>
      </c>
      <c r="U55">
        <v>31.872463168982801</v>
      </c>
      <c r="V55">
        <v>55.469334904396597</v>
      </c>
      <c r="W55">
        <v>7.8355526220062297E-2</v>
      </c>
      <c r="X55">
        <v>6.7629227722172502E-2</v>
      </c>
      <c r="Y55">
        <v>5.7473233346872703E-2</v>
      </c>
      <c r="Z55">
        <v>41.4981975288052</v>
      </c>
      <c r="AC55" s="49">
        <v>0.73499999999999999</v>
      </c>
      <c r="AD55">
        <v>31.5449280470418</v>
      </c>
      <c r="AE55">
        <v>90.158582587077305</v>
      </c>
      <c r="AF55">
        <v>0.116958122428477</v>
      </c>
      <c r="AG55">
        <v>9.33361698137848E-2</v>
      </c>
      <c r="AH55">
        <v>7.4053140856298799E-2</v>
      </c>
      <c r="AI55">
        <v>50.6524026145241</v>
      </c>
    </row>
    <row r="56" spans="1:35" x14ac:dyDescent="0.35">
      <c r="A56" s="9"/>
      <c r="B56" s="9">
        <v>0.94599999999999995</v>
      </c>
      <c r="C56" s="9">
        <v>123.191848698348</v>
      </c>
      <c r="D56" s="9">
        <v>303.52636774732298</v>
      </c>
      <c r="E56" s="9">
        <v>0.35495519094240802</v>
      </c>
      <c r="F56" s="9">
        <v>0.296321082535556</v>
      </c>
      <c r="G56" s="9">
        <v>0.24183828409706201</v>
      </c>
      <c r="H56" s="9">
        <v>162.35015062808799</v>
      </c>
      <c r="K56" s="49">
        <v>0.73</v>
      </c>
      <c r="L56">
        <v>14.956673520100701</v>
      </c>
      <c r="M56">
        <v>32.419250547886698</v>
      </c>
      <c r="N56">
        <v>4.7570988430529301E-2</v>
      </c>
      <c r="O56">
        <v>3.8782895184434202E-2</v>
      </c>
      <c r="P56">
        <v>3.17304924559332E-2</v>
      </c>
      <c r="T56">
        <v>0.73</v>
      </c>
      <c r="U56">
        <v>29.504068849280099</v>
      </c>
      <c r="V56">
        <v>51.979113642621499</v>
      </c>
      <c r="W56">
        <v>7.4092186030804599E-2</v>
      </c>
      <c r="X56">
        <v>6.3711471661948696E-2</v>
      </c>
      <c r="Y56">
        <v>5.3860740028191897E-2</v>
      </c>
      <c r="Z56">
        <v>39.1721880830233</v>
      </c>
      <c r="AC56" s="49">
        <v>0.73</v>
      </c>
      <c r="AD56">
        <v>29.897295642332001</v>
      </c>
      <c r="AE56">
        <v>85.809704651212101</v>
      </c>
      <c r="AF56">
        <v>0.111460703249394</v>
      </c>
      <c r="AG56">
        <v>8.8984628270414395E-2</v>
      </c>
      <c r="AH56">
        <v>7.0441377820061907E-2</v>
      </c>
      <c r="AI56">
        <v>48.408680978106503</v>
      </c>
    </row>
    <row r="57" spans="1:35" x14ac:dyDescent="0.35">
      <c r="A57" s="9"/>
      <c r="B57" s="9">
        <v>0.94499999999999995</v>
      </c>
      <c r="C57" s="9">
        <v>121.1745691279</v>
      </c>
      <c r="D57" s="9">
        <v>300.425846714111</v>
      </c>
      <c r="E57" s="9">
        <v>0.35067221986790298</v>
      </c>
      <c r="F57" s="9">
        <v>0.293061429507462</v>
      </c>
      <c r="G57" s="9">
        <v>0.238039376785042</v>
      </c>
      <c r="H57" s="9">
        <v>159.72930104702701</v>
      </c>
      <c r="K57" s="49">
        <v>0.72499999999999998</v>
      </c>
      <c r="L57">
        <v>13.6229202353082</v>
      </c>
      <c r="M57">
        <v>29.897593689400001</v>
      </c>
      <c r="N57">
        <v>4.49626108522743E-2</v>
      </c>
      <c r="O57">
        <v>3.6916289765312402E-2</v>
      </c>
      <c r="P57">
        <v>3.0088912897944201E-2</v>
      </c>
      <c r="T57">
        <v>0.72499999999999998</v>
      </c>
      <c r="U57">
        <v>27.1356745295774</v>
      </c>
      <c r="V57">
        <v>48.488892380846302</v>
      </c>
      <c r="W57">
        <v>6.9828845841546805E-2</v>
      </c>
      <c r="X57">
        <v>5.9793715601724903E-2</v>
      </c>
      <c r="Y57">
        <v>5.0248246709511203E-2</v>
      </c>
      <c r="Z57">
        <v>36.846178637241401</v>
      </c>
      <c r="AC57" s="49">
        <v>0.72499999999999998</v>
      </c>
      <c r="AD57">
        <v>28.249663237622201</v>
      </c>
      <c r="AE57">
        <v>81.460826715346798</v>
      </c>
      <c r="AF57">
        <v>0.105963284070311</v>
      </c>
      <c r="AG57">
        <v>8.4633086727044005E-2</v>
      </c>
      <c r="AH57">
        <v>6.6829614783825E-2</v>
      </c>
      <c r="AI57">
        <v>46.164959341688899</v>
      </c>
    </row>
    <row r="58" spans="1:35" x14ac:dyDescent="0.35">
      <c r="A58" s="9"/>
      <c r="B58" s="9">
        <v>0.94399999999999995</v>
      </c>
      <c r="C58" s="9">
        <v>119.186288732051</v>
      </c>
      <c r="D58" s="9">
        <v>296.174622584232</v>
      </c>
      <c r="E58" s="9">
        <v>0.345548772426089</v>
      </c>
      <c r="F58" s="9">
        <v>0.28894417545247097</v>
      </c>
      <c r="G58" s="9">
        <v>0.233977291790467</v>
      </c>
      <c r="H58" s="9">
        <v>157.03164589394299</v>
      </c>
      <c r="J58">
        <v>0.72</v>
      </c>
      <c r="K58" s="49">
        <v>0.72</v>
      </c>
      <c r="L58">
        <v>12.2891669505157</v>
      </c>
      <c r="M58">
        <v>27.3759368309133</v>
      </c>
      <c r="N58">
        <v>4.2354233274019402E-2</v>
      </c>
      <c r="O58">
        <v>3.5049684346190497E-2</v>
      </c>
      <c r="P58">
        <v>2.8447333339955298E-2</v>
      </c>
      <c r="S58">
        <v>0.72</v>
      </c>
      <c r="T58">
        <v>0.72</v>
      </c>
      <c r="U58">
        <v>25.182576050684201</v>
      </c>
      <c r="V58">
        <v>45.911641117969502</v>
      </c>
      <c r="W58">
        <v>6.6766139139529695E-2</v>
      </c>
      <c r="X58">
        <v>5.70724485831633E-2</v>
      </c>
      <c r="Y58">
        <v>4.7867763086968801E-2</v>
      </c>
      <c r="Z58">
        <v>33.932143360874001</v>
      </c>
      <c r="AB58">
        <v>0.72</v>
      </c>
      <c r="AC58" s="49">
        <v>0.72</v>
      </c>
      <c r="AD58">
        <v>26.602030832912401</v>
      </c>
      <c r="AE58">
        <v>77.111948779481494</v>
      </c>
      <c r="AF58">
        <v>0.100465864891227</v>
      </c>
      <c r="AG58">
        <v>8.0281545183673697E-2</v>
      </c>
      <c r="AH58">
        <v>6.3217851747588205E-2</v>
      </c>
      <c r="AI58">
        <v>43.921237705271302</v>
      </c>
    </row>
    <row r="59" spans="1:35" x14ac:dyDescent="0.35">
      <c r="A59" s="9"/>
      <c r="B59" s="9">
        <v>0.94299999999999995</v>
      </c>
      <c r="C59" s="9">
        <v>118.18148966130801</v>
      </c>
      <c r="D59" s="9">
        <v>292.43856831468901</v>
      </c>
      <c r="E59" s="9">
        <v>0.34115710703774099</v>
      </c>
      <c r="F59" s="9">
        <v>0.28534939841609802</v>
      </c>
      <c r="G59" s="9">
        <v>0.23083186162209801</v>
      </c>
      <c r="H59" s="9">
        <v>155.416960868231</v>
      </c>
      <c r="K59" s="49">
        <v>0.71499999999999997</v>
      </c>
      <c r="L59">
        <v>10.633391097171099</v>
      </c>
      <c r="M59">
        <v>24.159476614886199</v>
      </c>
      <c r="N59">
        <v>3.8671766161010299E-2</v>
      </c>
      <c r="O59">
        <v>3.1985717741000001E-2</v>
      </c>
      <c r="P59">
        <v>2.5596976236642401E-2</v>
      </c>
      <c r="T59">
        <v>0.71499999999999997</v>
      </c>
      <c r="U59">
        <v>23.232009608730099</v>
      </c>
      <c r="V59">
        <v>43.339956185246699</v>
      </c>
      <c r="W59">
        <v>6.3710752636853094E-2</v>
      </c>
      <c r="X59">
        <v>5.43584764954754E-2</v>
      </c>
      <c r="Y59">
        <v>4.5494790962865503E-2</v>
      </c>
      <c r="Z59">
        <v>31.014522921887799</v>
      </c>
      <c r="AC59" s="49">
        <v>0.71499999999999997</v>
      </c>
      <c r="AD59">
        <v>24.954398428202602</v>
      </c>
      <c r="AE59">
        <v>72.763070843616305</v>
      </c>
      <c r="AF59">
        <v>9.4968445712144106E-2</v>
      </c>
      <c r="AG59">
        <v>7.5930003640303306E-2</v>
      </c>
      <c r="AH59">
        <v>5.9606088711351299E-2</v>
      </c>
      <c r="AI59">
        <v>41.677516068853699</v>
      </c>
    </row>
    <row r="60" spans="1:35" x14ac:dyDescent="0.35">
      <c r="A60" s="9"/>
      <c r="B60" s="9">
        <v>0.94199999999999995</v>
      </c>
      <c r="C60" s="9">
        <v>116.594429310021</v>
      </c>
      <c r="D60" s="9">
        <v>286.832394353545</v>
      </c>
      <c r="E60" s="9">
        <v>0.33511849635628199</v>
      </c>
      <c r="F60" s="9">
        <v>0.28006197205338501</v>
      </c>
      <c r="G60" s="9">
        <v>0.22715091499160101</v>
      </c>
      <c r="H60" s="9">
        <v>153.213205911236</v>
      </c>
      <c r="K60" s="49">
        <v>0.71</v>
      </c>
      <c r="L60">
        <v>8.6255837902072905</v>
      </c>
      <c r="M60">
        <v>20.183465175371499</v>
      </c>
      <c r="N60">
        <v>3.3815116437332898E-2</v>
      </c>
      <c r="O60">
        <v>2.7612809341033599E-2</v>
      </c>
      <c r="P60">
        <v>2.1425197102892701E-2</v>
      </c>
      <c r="T60">
        <v>0.71</v>
      </c>
      <c r="U60">
        <v>21.2814431667761</v>
      </c>
      <c r="V60">
        <v>40.768271252523903</v>
      </c>
      <c r="W60">
        <v>6.0655366134176603E-2</v>
      </c>
      <c r="X60">
        <v>5.1644504407787402E-2</v>
      </c>
      <c r="Y60">
        <v>4.3121818838762198E-2</v>
      </c>
      <c r="Z60">
        <v>28.096902482901601</v>
      </c>
      <c r="AC60" s="49">
        <v>0.71</v>
      </c>
      <c r="AD60">
        <v>23.306766023492901</v>
      </c>
      <c r="AE60">
        <v>68.414192907751001</v>
      </c>
      <c r="AF60">
        <v>8.9471026533060799E-2</v>
      </c>
      <c r="AG60">
        <v>7.1578462096932902E-2</v>
      </c>
      <c r="AH60">
        <v>5.5994325675114399E-2</v>
      </c>
      <c r="AI60">
        <v>39.433794432436102</v>
      </c>
    </row>
    <row r="61" spans="1:35" x14ac:dyDescent="0.35">
      <c r="A61" s="9"/>
      <c r="B61" s="9">
        <v>0.94099999999999995</v>
      </c>
      <c r="C61" s="9">
        <v>113.620485370585</v>
      </c>
      <c r="D61" s="9">
        <v>280.87640724284699</v>
      </c>
      <c r="E61" s="9">
        <v>0.32872975506940699</v>
      </c>
      <c r="F61" s="9">
        <v>0.27449088371830999</v>
      </c>
      <c r="G61" s="9">
        <v>0.222115427513427</v>
      </c>
      <c r="H61" s="9">
        <v>149.50485946633</v>
      </c>
      <c r="K61" s="49">
        <v>0.70499999999999996</v>
      </c>
      <c r="L61">
        <v>6.6177764832435297</v>
      </c>
      <c r="M61">
        <v>16.207453735856902</v>
      </c>
      <c r="N61">
        <v>2.8958466713655599E-2</v>
      </c>
      <c r="O61">
        <v>2.3239900941067201E-2</v>
      </c>
      <c r="P61">
        <v>1.7253417969143099E-2</v>
      </c>
      <c r="T61">
        <v>0.70499999999999996</v>
      </c>
      <c r="U61">
        <v>19.330876724822101</v>
      </c>
      <c r="V61">
        <v>38.196586319801199</v>
      </c>
      <c r="W61">
        <v>5.7599979631500098E-2</v>
      </c>
      <c r="X61">
        <v>4.8930532320099397E-2</v>
      </c>
      <c r="Y61">
        <v>4.0748846714658997E-2</v>
      </c>
      <c r="Z61">
        <v>25.179282043915499</v>
      </c>
      <c r="AC61" s="49">
        <v>0.70499999999999996</v>
      </c>
      <c r="AD61">
        <v>21.659133618783098</v>
      </c>
      <c r="AE61">
        <v>64.065314971885797</v>
      </c>
      <c r="AF61">
        <v>8.3973607353977603E-2</v>
      </c>
      <c r="AG61">
        <v>6.7226920553562594E-2</v>
      </c>
      <c r="AH61">
        <v>5.2382562638877597E-2</v>
      </c>
      <c r="AI61">
        <v>37.190072796018498</v>
      </c>
    </row>
    <row r="62" spans="1:35" x14ac:dyDescent="0.35">
      <c r="A62" s="9">
        <v>0.94</v>
      </c>
      <c r="B62" s="9">
        <v>0.94</v>
      </c>
      <c r="C62" s="9">
        <v>110.030394943433</v>
      </c>
      <c r="D62" s="9">
        <v>275.04976708317298</v>
      </c>
      <c r="E62" s="9">
        <v>0.32239446926727899</v>
      </c>
      <c r="F62" s="9">
        <v>0.26906348614498798</v>
      </c>
      <c r="G62" s="9">
        <v>0.21654264820045699</v>
      </c>
      <c r="H62" s="9">
        <v>145.13512691514501</v>
      </c>
      <c r="J62" s="42">
        <v>0.7</v>
      </c>
      <c r="K62" s="49">
        <v>0.7</v>
      </c>
      <c r="L62">
        <v>4.8139788724973602</v>
      </c>
      <c r="M62">
        <v>12.6249170195816</v>
      </c>
      <c r="N62">
        <v>2.43904113472421E-2</v>
      </c>
      <c r="O62">
        <v>1.9140399313220501E-2</v>
      </c>
      <c r="P62">
        <v>1.34317763785133E-2</v>
      </c>
      <c r="S62" s="42">
        <v>0.7</v>
      </c>
      <c r="T62">
        <v>0.7</v>
      </c>
      <c r="U62">
        <v>18.0760156122696</v>
      </c>
      <c r="V62">
        <v>35.970474321841202</v>
      </c>
      <c r="W62">
        <v>5.4494695853950101E-2</v>
      </c>
      <c r="X62">
        <v>4.6272858950088203E-2</v>
      </c>
      <c r="Y62">
        <v>3.8686560173878497E-2</v>
      </c>
      <c r="Z62">
        <v>23.3110711262004</v>
      </c>
      <c r="AB62" s="42">
        <v>0.7</v>
      </c>
      <c r="AC62" s="49">
        <v>0.7</v>
      </c>
      <c r="AD62">
        <v>20.0304284748381</v>
      </c>
      <c r="AE62">
        <v>59.796452916689802</v>
      </c>
      <c r="AF62">
        <v>7.8887934696585005E-2</v>
      </c>
      <c r="AG62">
        <v>6.2638512814709696E-2</v>
      </c>
      <c r="AH62">
        <v>4.84859188662186E-2</v>
      </c>
      <c r="AI62">
        <v>34.320124858541199</v>
      </c>
    </row>
    <row r="63" spans="1:35" x14ac:dyDescent="0.35">
      <c r="A63" s="9"/>
      <c r="B63" s="9">
        <v>0.93899999999999995</v>
      </c>
      <c r="C63" s="9">
        <v>106.59616885799601</v>
      </c>
      <c r="D63" s="9">
        <v>268.80332480959203</v>
      </c>
      <c r="E63" s="9">
        <v>0.31591518751002001</v>
      </c>
      <c r="F63" s="9">
        <v>0.263299622438248</v>
      </c>
      <c r="G63" s="9">
        <v>0.211270830703643</v>
      </c>
      <c r="H63" s="9">
        <v>140.97033282829301</v>
      </c>
      <c r="K63" s="49">
        <v>0.69499999999999995</v>
      </c>
      <c r="L63">
        <v>4.2524334130996904</v>
      </c>
      <c r="M63">
        <v>11.438319469472299</v>
      </c>
      <c r="N63">
        <v>2.1579659519949598E-2</v>
      </c>
      <c r="O63">
        <v>1.6705721255802199E-2</v>
      </c>
      <c r="P63">
        <v>1.17421859809045E-2</v>
      </c>
      <c r="T63">
        <v>0.69499999999999995</v>
      </c>
      <c r="U63">
        <v>17.2846103043113</v>
      </c>
      <c r="V63">
        <v>33.974571545742798</v>
      </c>
      <c r="W63">
        <v>5.1356172167639602E-2</v>
      </c>
      <c r="X63">
        <v>4.3652689917611801E-2</v>
      </c>
      <c r="Y63">
        <v>3.6831242059110599E-2</v>
      </c>
      <c r="Z63">
        <v>22.141942008603198</v>
      </c>
      <c r="AC63" s="49">
        <v>0.69499999999999995</v>
      </c>
      <c r="AD63">
        <v>18.4018165311522</v>
      </c>
      <c r="AE63">
        <v>55.5279848699506</v>
      </c>
      <c r="AF63">
        <v>7.3804289531862896E-2</v>
      </c>
      <c r="AG63">
        <v>5.8048938716337498E-2</v>
      </c>
      <c r="AH63">
        <v>4.4587872304283897E-2</v>
      </c>
      <c r="AI63">
        <v>31.447093302457802</v>
      </c>
    </row>
    <row r="64" spans="1:35" x14ac:dyDescent="0.35">
      <c r="A64" s="9"/>
      <c r="B64" s="9">
        <v>0.93799999999999994</v>
      </c>
      <c r="C64" s="9">
        <v>103.483752652531</v>
      </c>
      <c r="D64" s="9">
        <v>261.73922004223698</v>
      </c>
      <c r="E64" s="9">
        <v>0.30889225017944799</v>
      </c>
      <c r="F64" s="9">
        <v>0.25677661713334499</v>
      </c>
      <c r="G64" s="9">
        <v>0.20632009969325399</v>
      </c>
      <c r="H64" s="9">
        <v>137.25638430514101</v>
      </c>
      <c r="K64" s="49">
        <v>0.69</v>
      </c>
      <c r="L64">
        <v>3.6908879537019899</v>
      </c>
      <c r="M64">
        <v>10.251721919363099</v>
      </c>
      <c r="N64">
        <v>1.8768907692656898E-2</v>
      </c>
      <c r="O64">
        <v>1.4271043198383701E-2</v>
      </c>
      <c r="P64">
        <v>1.00525955832956E-2</v>
      </c>
      <c r="T64">
        <v>0.69</v>
      </c>
      <c r="U64">
        <v>16.493204996352901</v>
      </c>
      <c r="V64">
        <v>31.978668769644202</v>
      </c>
      <c r="W64">
        <v>4.8217648481328999E-2</v>
      </c>
      <c r="X64">
        <v>4.1032520885135197E-2</v>
      </c>
      <c r="Y64">
        <v>3.4975923944342603E-2</v>
      </c>
      <c r="Z64">
        <v>20.972812891005901</v>
      </c>
      <c r="AC64" s="49">
        <v>0.69</v>
      </c>
      <c r="AD64">
        <v>16.7732045874662</v>
      </c>
      <c r="AE64">
        <v>51.2595168232112</v>
      </c>
      <c r="AF64">
        <v>6.8720644367140593E-2</v>
      </c>
      <c r="AG64">
        <v>5.3459364617965098E-2</v>
      </c>
      <c r="AH64">
        <v>4.0689825742349001E-2</v>
      </c>
      <c r="AI64">
        <v>28.574061746374099</v>
      </c>
    </row>
    <row r="65" spans="1:35" x14ac:dyDescent="0.35">
      <c r="A65" s="9"/>
      <c r="B65" s="9">
        <v>0.93700000000000006</v>
      </c>
      <c r="C65" s="9">
        <v>100.014270260011</v>
      </c>
      <c r="D65" s="9">
        <v>254.87787386813301</v>
      </c>
      <c r="E65" s="9">
        <v>0.30223375739859798</v>
      </c>
      <c r="F65" s="9">
        <v>0.25044958202457002</v>
      </c>
      <c r="G65" s="9">
        <v>0.20119087020874199</v>
      </c>
      <c r="H65" s="9">
        <v>133.25612923287699</v>
      </c>
      <c r="K65" s="49">
        <v>0.68500000000000005</v>
      </c>
      <c r="L65">
        <v>3.12934249430432</v>
      </c>
      <c r="M65">
        <v>9.0651243692538195</v>
      </c>
      <c r="N65">
        <v>1.59581558653644E-2</v>
      </c>
      <c r="O65">
        <v>1.18363651409653E-2</v>
      </c>
      <c r="P65">
        <v>8.3630051856868493E-3</v>
      </c>
      <c r="T65">
        <v>0.68500000000000005</v>
      </c>
      <c r="U65">
        <v>15.701799688394701</v>
      </c>
      <c r="V65">
        <v>29.982765993545801</v>
      </c>
      <c r="W65">
        <v>4.5079124795018501E-2</v>
      </c>
      <c r="X65">
        <v>3.8412351852658802E-2</v>
      </c>
      <c r="Y65">
        <v>3.3120605829574601E-2</v>
      </c>
      <c r="Z65">
        <v>19.8036837734087</v>
      </c>
      <c r="AC65" s="49">
        <v>0.68500000000000005</v>
      </c>
      <c r="AD65">
        <v>15.1445926437803</v>
      </c>
      <c r="AE65">
        <v>46.991048776472098</v>
      </c>
      <c r="AF65">
        <v>6.3636999202418595E-2</v>
      </c>
      <c r="AG65">
        <v>4.88697905195929E-2</v>
      </c>
      <c r="AH65">
        <v>3.6791779180414201E-2</v>
      </c>
      <c r="AI65">
        <v>25.701030190290599</v>
      </c>
    </row>
    <row r="66" spans="1:35" x14ac:dyDescent="0.35">
      <c r="A66" s="9"/>
      <c r="B66" s="9">
        <v>0.93600000000000005</v>
      </c>
      <c r="C66" s="9">
        <v>96.453399083226799</v>
      </c>
      <c r="D66" s="9">
        <v>248.63272604655199</v>
      </c>
      <c r="E66" s="9">
        <v>0.29617895668295402</v>
      </c>
      <c r="F66" s="9">
        <v>0.24471509932390101</v>
      </c>
      <c r="G66" s="9">
        <v>0.196134784431715</v>
      </c>
      <c r="H66" s="9">
        <v>129.15733886222199</v>
      </c>
      <c r="J66">
        <v>0.68</v>
      </c>
      <c r="K66" s="49">
        <v>0.68</v>
      </c>
      <c r="L66">
        <v>2.4755338178427899</v>
      </c>
      <c r="M66">
        <v>7.1864319231962996</v>
      </c>
      <c r="N66">
        <v>1.3256538369237601E-2</v>
      </c>
      <c r="O66">
        <v>9.6214867072607797E-3</v>
      </c>
      <c r="P66">
        <v>6.7526710315890196E-3</v>
      </c>
      <c r="S66">
        <v>0.68</v>
      </c>
      <c r="T66">
        <v>0.68</v>
      </c>
      <c r="U66">
        <v>14.472648584713101</v>
      </c>
      <c r="V66">
        <v>27.159594760679902</v>
      </c>
      <c r="W66">
        <v>4.1142719999876801E-2</v>
      </c>
      <c r="X66">
        <v>3.50640324242215E-2</v>
      </c>
      <c r="Y66">
        <v>3.0290776705062701E-2</v>
      </c>
      <c r="Z66">
        <v>18.331011415945198</v>
      </c>
      <c r="AB66">
        <v>0.68</v>
      </c>
      <c r="AC66" s="49">
        <v>0.68</v>
      </c>
      <c r="AD66">
        <v>13.5159807000943</v>
      </c>
      <c r="AE66">
        <v>42.722580729732698</v>
      </c>
      <c r="AF66">
        <v>5.8553354037696299E-2</v>
      </c>
      <c r="AG66">
        <v>4.4280216421220597E-2</v>
      </c>
      <c r="AH66">
        <v>3.2893732618479297E-2</v>
      </c>
      <c r="AI66">
        <v>22.827998634206999</v>
      </c>
    </row>
    <row r="67" spans="1:35" x14ac:dyDescent="0.35">
      <c r="A67" s="9"/>
      <c r="B67" s="9">
        <v>0.93500000000000005</v>
      </c>
      <c r="C67" s="9">
        <v>93.421579088933598</v>
      </c>
      <c r="D67" s="9">
        <v>242.74669786581899</v>
      </c>
      <c r="E67" s="9">
        <v>0.290399333810335</v>
      </c>
      <c r="F67" s="9">
        <v>0.23932709839184599</v>
      </c>
      <c r="G67" s="9">
        <v>0.19169557056769401</v>
      </c>
      <c r="H67" s="9">
        <v>125.551793486842</v>
      </c>
      <c r="K67" s="49">
        <v>0.67500000000000004</v>
      </c>
      <c r="L67">
        <v>1.81748073615289</v>
      </c>
      <c r="M67">
        <v>5.2759008822100997</v>
      </c>
      <c r="N67">
        <v>1.05599414039416E-2</v>
      </c>
      <c r="O67">
        <v>7.4167197643734599E-3</v>
      </c>
      <c r="P67">
        <v>5.1459829200318202E-3</v>
      </c>
      <c r="T67">
        <v>0.67500000000000004</v>
      </c>
      <c r="U67">
        <v>12.7396114669907</v>
      </c>
      <c r="V67">
        <v>23.3841608006902</v>
      </c>
      <c r="W67">
        <v>3.6287880040913101E-2</v>
      </c>
      <c r="X67">
        <v>3.0877544350356501E-2</v>
      </c>
      <c r="Y67">
        <v>2.6339195017450599E-2</v>
      </c>
      <c r="Z67">
        <v>16.5089326342063</v>
      </c>
      <c r="AC67" s="49">
        <v>0.67500000000000004</v>
      </c>
      <c r="AD67">
        <v>12.01661866207</v>
      </c>
      <c r="AE67">
        <v>38.7506567502869</v>
      </c>
      <c r="AF67">
        <v>5.3554942916922497E-2</v>
      </c>
      <c r="AG67">
        <v>3.9929600505964301E-2</v>
      </c>
      <c r="AH67">
        <v>2.9375422507858299E-2</v>
      </c>
      <c r="AI67">
        <v>20.296855424841901</v>
      </c>
    </row>
    <row r="68" spans="1:35" x14ac:dyDescent="0.35">
      <c r="A68" s="9"/>
      <c r="B68" s="9">
        <v>0.93400000000000005</v>
      </c>
      <c r="C68" s="9">
        <v>90.673604805751097</v>
      </c>
      <c r="D68" s="9">
        <v>237.90680098908101</v>
      </c>
      <c r="E68" s="9">
        <v>0.28555795150132601</v>
      </c>
      <c r="F68" s="9">
        <v>0.23486425882442</v>
      </c>
      <c r="G68" s="9">
        <v>0.18765455180502499</v>
      </c>
      <c r="H68" s="9">
        <v>122.310613715918</v>
      </c>
      <c r="K68" s="49">
        <v>0.67</v>
      </c>
      <c r="L68">
        <v>1.15942765446296</v>
      </c>
      <c r="M68">
        <v>3.36536984122381</v>
      </c>
      <c r="N68">
        <v>7.8633444386454407E-3</v>
      </c>
      <c r="O68">
        <v>5.21195282148603E-3</v>
      </c>
      <c r="P68">
        <v>3.53929480847454E-3</v>
      </c>
      <c r="T68">
        <v>0.67</v>
      </c>
      <c r="U68">
        <v>11.006574349268099</v>
      </c>
      <c r="V68">
        <v>19.608726840700399</v>
      </c>
      <c r="W68">
        <v>3.1433040081949103E-2</v>
      </c>
      <c r="X68">
        <v>2.66910562764913E-2</v>
      </c>
      <c r="Y68">
        <v>2.23876133298383E-2</v>
      </c>
      <c r="Z68">
        <v>14.686853852467401</v>
      </c>
      <c r="AC68" s="49">
        <v>0.67</v>
      </c>
      <c r="AD68">
        <v>10.7517835426496</v>
      </c>
      <c r="AE68">
        <v>35.316818783179798</v>
      </c>
      <c r="AF68">
        <v>4.8711190924021902E-2</v>
      </c>
      <c r="AG68">
        <v>3.6012579695281099E-2</v>
      </c>
      <c r="AH68">
        <v>2.6546152898678E-2</v>
      </c>
      <c r="AI68">
        <v>18.3860764629557</v>
      </c>
    </row>
    <row r="69" spans="1:35" x14ac:dyDescent="0.35">
      <c r="A69" s="9"/>
      <c r="B69" s="9">
        <v>0.93300000000000005</v>
      </c>
      <c r="C69" s="9">
        <v>87.553500490707407</v>
      </c>
      <c r="D69" s="9">
        <v>233.23429030565799</v>
      </c>
      <c r="E69" s="9">
        <v>0.28095131309926102</v>
      </c>
      <c r="F69" s="9">
        <v>0.23056105849959199</v>
      </c>
      <c r="G69" s="9">
        <v>0.18335817610799901</v>
      </c>
      <c r="H69" s="9">
        <v>118.784142321179</v>
      </c>
      <c r="K69" s="49">
        <v>0.66500000000000004</v>
      </c>
      <c r="L69">
        <v>0</v>
      </c>
      <c r="M69">
        <v>0</v>
      </c>
      <c r="N69">
        <v>0</v>
      </c>
      <c r="O69">
        <v>0</v>
      </c>
      <c r="P69">
        <v>0</v>
      </c>
      <c r="T69">
        <v>0.66500000000000004</v>
      </c>
      <c r="U69">
        <v>9.2735372315456992</v>
      </c>
      <c r="V69">
        <v>15.8332928807108</v>
      </c>
      <c r="W69">
        <v>2.6578200122985399E-2</v>
      </c>
      <c r="X69">
        <v>2.25045682026263E-2</v>
      </c>
      <c r="Y69">
        <v>1.8436031642226201E-2</v>
      </c>
      <c r="Z69">
        <v>12.8647750707285</v>
      </c>
      <c r="AC69" s="49">
        <v>0.66500000000000004</v>
      </c>
      <c r="AD69">
        <v>9.48694842322924</v>
      </c>
      <c r="AE69">
        <v>31.882980816072799</v>
      </c>
      <c r="AF69">
        <v>4.3867438931121598E-2</v>
      </c>
      <c r="AG69">
        <v>3.2095558884598099E-2</v>
      </c>
      <c r="AH69">
        <v>2.3716883289497899E-2</v>
      </c>
      <c r="AI69">
        <v>16.475297501069601</v>
      </c>
    </row>
    <row r="70" spans="1:35" x14ac:dyDescent="0.35">
      <c r="A70" s="9"/>
      <c r="B70" s="9">
        <v>0.93200000000000005</v>
      </c>
      <c r="C70" s="9">
        <v>84.674234927300702</v>
      </c>
      <c r="D70" s="9">
        <v>228.105160793191</v>
      </c>
      <c r="E70" s="9">
        <v>0.27602190274813998</v>
      </c>
      <c r="F70" s="9">
        <v>0.22596050559102801</v>
      </c>
      <c r="G70" s="9">
        <v>0.17951632001560999</v>
      </c>
      <c r="H70" s="9">
        <v>115.558547304507</v>
      </c>
      <c r="J70">
        <v>0.66</v>
      </c>
      <c r="K70" s="49">
        <v>0.66</v>
      </c>
      <c r="L70">
        <v>0</v>
      </c>
      <c r="M70">
        <v>0</v>
      </c>
      <c r="N70">
        <v>0</v>
      </c>
      <c r="O70">
        <v>0</v>
      </c>
      <c r="P70">
        <v>0</v>
      </c>
      <c r="S70">
        <v>0.66</v>
      </c>
      <c r="T70">
        <v>0.66</v>
      </c>
      <c r="U70">
        <v>7.6010836754630704</v>
      </c>
      <c r="V70">
        <v>12.809085380562999</v>
      </c>
      <c r="W70">
        <v>2.25325108090473E-2</v>
      </c>
      <c r="X70">
        <v>1.89244251256524E-2</v>
      </c>
      <c r="Y70">
        <v>1.51614005473036E-2</v>
      </c>
      <c r="Z70">
        <v>10.771213771753899</v>
      </c>
      <c r="AB70">
        <v>0.66</v>
      </c>
      <c r="AC70" s="49">
        <v>0.66</v>
      </c>
      <c r="AD70">
        <v>8.2221133038088592</v>
      </c>
      <c r="AE70">
        <v>28.4491428489657</v>
      </c>
      <c r="AF70">
        <v>3.9023686938221003E-2</v>
      </c>
      <c r="AG70">
        <v>2.8178538073914999E-2</v>
      </c>
      <c r="AH70">
        <v>2.08876136803176E-2</v>
      </c>
      <c r="AI70">
        <v>14.5645185391834</v>
      </c>
    </row>
    <row r="71" spans="1:35" x14ac:dyDescent="0.35">
      <c r="A71" s="9"/>
      <c r="B71" s="9">
        <v>0.93100000000000005</v>
      </c>
      <c r="C71" s="9">
        <v>82.516717405189894</v>
      </c>
      <c r="D71" s="9">
        <v>223.19374033937001</v>
      </c>
      <c r="E71" s="9">
        <v>0.27120831402233297</v>
      </c>
      <c r="F71" s="9">
        <v>0.22159125380314701</v>
      </c>
      <c r="G71" s="9">
        <v>0.176385688271816</v>
      </c>
      <c r="H71" s="9">
        <v>113.01655569378499</v>
      </c>
      <c r="K71" s="49">
        <v>0.65500000000000003</v>
      </c>
      <c r="L71">
        <v>0</v>
      </c>
      <c r="M71">
        <v>0</v>
      </c>
      <c r="N71">
        <v>0</v>
      </c>
      <c r="O71">
        <v>0</v>
      </c>
      <c r="P71">
        <v>0</v>
      </c>
      <c r="T71">
        <v>0.65500000000000003</v>
      </c>
      <c r="U71">
        <v>5.9751073509121397</v>
      </c>
      <c r="V71">
        <v>10.361188106517501</v>
      </c>
      <c r="W71">
        <v>1.9107568787854599E-2</v>
      </c>
      <c r="X71">
        <v>1.5809445139882399E-2</v>
      </c>
      <c r="Y71">
        <v>1.24060982699722E-2</v>
      </c>
      <c r="Z71">
        <v>8.4693821851170199</v>
      </c>
      <c r="AC71" s="49">
        <v>0.65500000000000003</v>
      </c>
      <c r="AD71">
        <v>6.9572781843885299</v>
      </c>
      <c r="AE71">
        <v>25.0153048818587</v>
      </c>
      <c r="AF71">
        <v>3.4179934945320602E-2</v>
      </c>
      <c r="AG71">
        <v>2.4261517263231999E-2</v>
      </c>
      <c r="AH71">
        <v>1.8058344071137499E-2</v>
      </c>
      <c r="AI71">
        <v>12.6537395772973</v>
      </c>
    </row>
    <row r="72" spans="1:35" x14ac:dyDescent="0.35">
      <c r="A72" s="9">
        <v>0.93</v>
      </c>
      <c r="B72" s="9">
        <v>0.93</v>
      </c>
      <c r="C72" s="9">
        <v>80.219675285309705</v>
      </c>
      <c r="D72" s="9">
        <v>219.403438712689</v>
      </c>
      <c r="E72" s="9">
        <v>0.267343335907961</v>
      </c>
      <c r="F72" s="9">
        <v>0.218087133854933</v>
      </c>
      <c r="G72" s="9">
        <v>0.17261084282391501</v>
      </c>
      <c r="H72" s="9">
        <v>110.231215929101</v>
      </c>
      <c r="K72" s="49">
        <v>0.65</v>
      </c>
      <c r="L72">
        <v>0</v>
      </c>
      <c r="M72">
        <v>0</v>
      </c>
      <c r="N72">
        <v>0</v>
      </c>
      <c r="O72">
        <v>0</v>
      </c>
      <c r="P72">
        <v>0</v>
      </c>
      <c r="T72">
        <v>0.65</v>
      </c>
      <c r="U72">
        <v>4.34913102636117</v>
      </c>
      <c r="V72">
        <v>7.9132908324719198</v>
      </c>
      <c r="W72">
        <v>1.5682626766661802E-2</v>
      </c>
      <c r="X72">
        <v>1.26944651541123E-2</v>
      </c>
      <c r="Y72">
        <v>9.6507959926406504E-3</v>
      </c>
      <c r="Z72">
        <v>6.16755059848012</v>
      </c>
      <c r="AC72" s="49">
        <v>0.65</v>
      </c>
      <c r="AD72">
        <v>5.80126368970173</v>
      </c>
      <c r="AE72">
        <v>21.804147720608398</v>
      </c>
      <c r="AF72">
        <v>2.9763005238369101E-2</v>
      </c>
      <c r="AG72">
        <v>2.0697639925142199E-2</v>
      </c>
      <c r="AH72">
        <v>1.5466268829007901E-2</v>
      </c>
      <c r="AI72">
        <v>10.9101688039766</v>
      </c>
    </row>
    <row r="73" spans="1:35" x14ac:dyDescent="0.35">
      <c r="A73" s="9"/>
      <c r="B73" s="9">
        <v>0.92900000000000005</v>
      </c>
      <c r="C73" s="9">
        <v>77.788736934382499</v>
      </c>
      <c r="D73" s="9">
        <v>214.93299821433001</v>
      </c>
      <c r="E73" s="9">
        <v>0.26289703303421302</v>
      </c>
      <c r="F73" s="9">
        <v>0.213963851084461</v>
      </c>
      <c r="G73" s="9">
        <v>0.16843283733797501</v>
      </c>
      <c r="H73" s="9">
        <v>107.235552878001</v>
      </c>
      <c r="AC73" s="49">
        <v>0.64500000000000002</v>
      </c>
      <c r="AD73">
        <v>5.2652031800696397</v>
      </c>
      <c r="AE73">
        <v>19.861609015869799</v>
      </c>
      <c r="AF73">
        <v>2.7777693413892E-2</v>
      </c>
      <c r="AG73">
        <v>1.9145630315861601E-2</v>
      </c>
      <c r="AH73">
        <v>1.42254961864143E-2</v>
      </c>
      <c r="AI73">
        <v>10.119187515312399</v>
      </c>
    </row>
    <row r="74" spans="1:35" x14ac:dyDescent="0.35">
      <c r="A74" s="9"/>
      <c r="B74" s="9">
        <v>0.92800000000000005</v>
      </c>
      <c r="C74" s="9">
        <v>75.643449047091593</v>
      </c>
      <c r="D74" s="9">
        <v>209.22598727256999</v>
      </c>
      <c r="E74" s="9">
        <v>0.25734372494649899</v>
      </c>
      <c r="F74" s="9">
        <v>0.20880288214721701</v>
      </c>
      <c r="G74" s="9">
        <v>0.16480112838400199</v>
      </c>
      <c r="H74" s="9">
        <v>104.582573801945</v>
      </c>
      <c r="AB74">
        <v>0.64</v>
      </c>
      <c r="AC74" s="49">
        <v>0.64</v>
      </c>
      <c r="AD74">
        <v>4.7291426704375397</v>
      </c>
      <c r="AE74">
        <v>17.919070311131101</v>
      </c>
      <c r="AF74">
        <v>2.5792381589414898E-2</v>
      </c>
      <c r="AG74">
        <v>1.7593620706580899E-2</v>
      </c>
      <c r="AH74">
        <v>1.29847235438206E-2</v>
      </c>
      <c r="AI74">
        <v>9.3282062266480903</v>
      </c>
    </row>
    <row r="75" spans="1:35" x14ac:dyDescent="0.35">
      <c r="A75" s="9"/>
      <c r="B75" s="9">
        <v>0.92700000000000005</v>
      </c>
      <c r="C75" s="9">
        <v>73.549702877459595</v>
      </c>
      <c r="D75" s="9">
        <v>203.419869384555</v>
      </c>
      <c r="E75" s="9">
        <v>0.251700386076882</v>
      </c>
      <c r="F75" s="9">
        <v>0.203634651662601</v>
      </c>
      <c r="G75" s="9">
        <v>0.161239220395475</v>
      </c>
      <c r="H75" s="9">
        <v>101.990337120383</v>
      </c>
      <c r="AC75" s="49">
        <v>0.63500000000000001</v>
      </c>
      <c r="AD75">
        <v>4.1930821608054396</v>
      </c>
      <c r="AE75">
        <v>15.976531606392401</v>
      </c>
      <c r="AF75">
        <v>2.3807069764937801E-2</v>
      </c>
      <c r="AG75">
        <v>1.60416110973002E-2</v>
      </c>
      <c r="AH75">
        <v>1.17439509012269E-2</v>
      </c>
      <c r="AI75">
        <v>8.5372249379837992</v>
      </c>
    </row>
    <row r="76" spans="1:35" x14ac:dyDescent="0.35">
      <c r="A76" s="9"/>
      <c r="B76" s="9">
        <v>0.92600000000000005</v>
      </c>
      <c r="C76" s="9">
        <v>70.978546566310698</v>
      </c>
      <c r="D76" s="9">
        <v>197.35302642391099</v>
      </c>
      <c r="E76" s="9">
        <v>0.24582393285100501</v>
      </c>
      <c r="F76" s="9">
        <v>0.19814809521471299</v>
      </c>
      <c r="G76" s="9">
        <v>0.15667246771829499</v>
      </c>
      <c r="H76" s="9">
        <v>98.786232135489698</v>
      </c>
      <c r="AC76" s="49">
        <v>0.63</v>
      </c>
      <c r="AD76">
        <v>3.65702165117334</v>
      </c>
      <c r="AE76">
        <v>14.0339929016538</v>
      </c>
      <c r="AF76">
        <v>2.18217579404607E-2</v>
      </c>
      <c r="AG76">
        <v>1.4489601488019499E-2</v>
      </c>
      <c r="AH76">
        <v>1.05031782586332E-2</v>
      </c>
      <c r="AI76">
        <v>7.7462436493195197</v>
      </c>
    </row>
    <row r="77" spans="1:35" x14ac:dyDescent="0.35">
      <c r="A77" s="9"/>
      <c r="B77" s="9">
        <v>0.92500000000000004</v>
      </c>
      <c r="C77" s="9">
        <v>68.247017176963496</v>
      </c>
      <c r="D77" s="9">
        <v>190.55294578172399</v>
      </c>
      <c r="E77" s="9">
        <v>0.23932413147126799</v>
      </c>
      <c r="F77" s="9">
        <v>0.19197642011348701</v>
      </c>
      <c r="G77" s="9">
        <v>0.15167013947327601</v>
      </c>
      <c r="H77" s="9">
        <v>95.335250823955107</v>
      </c>
      <c r="AC77" s="49">
        <v>0.625</v>
      </c>
      <c r="AD77">
        <v>3.24710181750467</v>
      </c>
      <c r="AE77">
        <v>12.5460681955391</v>
      </c>
      <c r="AF77">
        <v>1.9999803889455901E-2</v>
      </c>
      <c r="AG77">
        <v>1.3155615625691499E-2</v>
      </c>
      <c r="AH77">
        <v>9.4745391512989201E-3</v>
      </c>
      <c r="AI77">
        <v>7.0818238830789699</v>
      </c>
    </row>
    <row r="78" spans="1:35" x14ac:dyDescent="0.35">
      <c r="A78" s="9"/>
      <c r="B78" s="9">
        <v>0.92400000000000004</v>
      </c>
      <c r="C78" s="9">
        <v>65.417313415004998</v>
      </c>
      <c r="D78" s="9">
        <v>183.08311485610599</v>
      </c>
      <c r="E78" s="9">
        <v>0.23228540183847801</v>
      </c>
      <c r="F78" s="9">
        <v>0.18526051136568</v>
      </c>
      <c r="G78" s="9">
        <v>0.14652531579814199</v>
      </c>
      <c r="H78" s="9">
        <v>91.800292887506203</v>
      </c>
      <c r="AB78">
        <v>0.62</v>
      </c>
      <c r="AC78" s="49">
        <v>0.62</v>
      </c>
      <c r="AD78">
        <v>3.09447092658323</v>
      </c>
      <c r="AE78">
        <v>11.985418963181999</v>
      </c>
      <c r="AF78">
        <v>1.8511050437744099E-2</v>
      </c>
      <c r="AG78">
        <v>1.2266332464683101E-2</v>
      </c>
      <c r="AH78">
        <v>8.8785884895532692E-3</v>
      </c>
      <c r="AI78">
        <v>6.67555145946345</v>
      </c>
    </row>
    <row r="79" spans="1:35" x14ac:dyDescent="0.35">
      <c r="A79" s="9"/>
      <c r="B79" s="9">
        <v>0.92300000000000004</v>
      </c>
      <c r="C79" s="9">
        <v>62.585057474123197</v>
      </c>
      <c r="D79" s="9">
        <v>176.05656906863501</v>
      </c>
      <c r="E79" s="9">
        <v>0.225624339939166</v>
      </c>
      <c r="F79" s="9">
        <v>0.178964859688895</v>
      </c>
      <c r="G79" s="9">
        <v>0.14134978389740599</v>
      </c>
      <c r="H79" s="9">
        <v>88.235569228373606</v>
      </c>
      <c r="AC79" s="49">
        <v>0.61499999999999999</v>
      </c>
      <c r="AD79">
        <v>2.94184003566179</v>
      </c>
      <c r="AE79">
        <v>11.424769730824799</v>
      </c>
      <c r="AF79">
        <v>1.70222969860323E-2</v>
      </c>
      <c r="AG79">
        <v>1.13770493036747E-2</v>
      </c>
      <c r="AH79">
        <v>8.28263782780762E-3</v>
      </c>
      <c r="AI79">
        <v>6.26927903584793</v>
      </c>
    </row>
    <row r="80" spans="1:35" x14ac:dyDescent="0.35">
      <c r="A80" s="9"/>
      <c r="B80" s="9">
        <v>0.92200000000000004</v>
      </c>
      <c r="C80" s="9">
        <v>59.553259686033499</v>
      </c>
      <c r="D80" s="9">
        <v>170.158972388802</v>
      </c>
      <c r="E80" s="9">
        <v>0.21988064533221099</v>
      </c>
      <c r="F80" s="9">
        <v>0.17354861606178401</v>
      </c>
      <c r="G80" s="9">
        <v>0.135794014060926</v>
      </c>
      <c r="H80" s="9">
        <v>84.3633360797796</v>
      </c>
      <c r="L80" s="49"/>
      <c r="AC80" s="49">
        <v>0.61</v>
      </c>
      <c r="AD80">
        <v>2.78920914474035</v>
      </c>
      <c r="AE80">
        <v>10.864120498467599</v>
      </c>
      <c r="AF80">
        <v>1.55335435343205E-2</v>
      </c>
      <c r="AG80">
        <v>1.04877661426663E-2</v>
      </c>
      <c r="AH80">
        <v>7.6866871660619699E-3</v>
      </c>
      <c r="AI80">
        <v>5.8630066122324198</v>
      </c>
    </row>
    <row r="81" spans="1:35" x14ac:dyDescent="0.35">
      <c r="A81" s="9"/>
      <c r="B81" s="9">
        <v>0.92100000000000004</v>
      </c>
      <c r="C81" s="9">
        <v>56.5921233598295</v>
      </c>
      <c r="D81" s="9">
        <v>164.39123793209899</v>
      </c>
      <c r="E81" s="9">
        <v>0.214252550551045</v>
      </c>
      <c r="F81" s="9">
        <v>0.168253095326029</v>
      </c>
      <c r="G81" s="9">
        <v>0.130427671928774</v>
      </c>
      <c r="H81" s="9">
        <v>80.539873198517995</v>
      </c>
      <c r="L81" s="49"/>
      <c r="AC81" s="49">
        <v>0.60499999999999998</v>
      </c>
      <c r="AD81">
        <v>2.63657825381891</v>
      </c>
      <c r="AE81">
        <v>10.3034712661104</v>
      </c>
      <c r="AF81">
        <v>1.4044790082608701E-2</v>
      </c>
      <c r="AG81">
        <v>9.5984829816578906E-3</v>
      </c>
      <c r="AH81">
        <v>7.0907365043163199E-3</v>
      </c>
      <c r="AI81">
        <v>5.4567341886168998</v>
      </c>
    </row>
    <row r="82" spans="1:35" x14ac:dyDescent="0.35">
      <c r="A82" s="9">
        <v>0.92</v>
      </c>
      <c r="B82" s="9">
        <v>0.92</v>
      </c>
      <c r="C82" s="9">
        <v>54.2885555074498</v>
      </c>
      <c r="D82" s="9">
        <v>158.17511145468799</v>
      </c>
      <c r="E82" s="9">
        <v>0.20829151333622201</v>
      </c>
      <c r="F82" s="9">
        <v>0.16267016715608601</v>
      </c>
      <c r="G82" s="9">
        <v>0.126042431555067</v>
      </c>
      <c r="H82" s="9">
        <v>77.588831987212401</v>
      </c>
      <c r="AB82" s="42">
        <v>0.6</v>
      </c>
      <c r="AC82" s="49">
        <v>0.6</v>
      </c>
      <c r="AD82">
        <v>2.32544051234937</v>
      </c>
      <c r="AE82">
        <v>9.2119161510848997</v>
      </c>
      <c r="AF82">
        <v>1.2681111767204E-2</v>
      </c>
      <c r="AG82">
        <v>8.6224179103792792E-3</v>
      </c>
      <c r="AH82">
        <v>6.3536332373744396E-3</v>
      </c>
      <c r="AI82">
        <v>4.8820963816902303</v>
      </c>
    </row>
    <row r="83" spans="1:35" x14ac:dyDescent="0.35">
      <c r="A83" s="9"/>
      <c r="B83" s="9">
        <v>0.91900000000000004</v>
      </c>
      <c r="C83" s="9">
        <v>52.524698050525501</v>
      </c>
      <c r="D83" s="9">
        <v>152.55653334263701</v>
      </c>
      <c r="E83" s="9">
        <v>0.20287007400424201</v>
      </c>
      <c r="F83" s="9">
        <v>0.15763953087427099</v>
      </c>
      <c r="G83" s="9">
        <v>0.12229842737034601</v>
      </c>
      <c r="H83" s="9">
        <v>75.217355092659901</v>
      </c>
      <c r="AC83" s="49">
        <v>0.59499999999999997</v>
      </c>
      <c r="AD83">
        <v>1.98697374721862</v>
      </c>
      <c r="AE83">
        <v>8.0288246805065402</v>
      </c>
      <c r="AF83">
        <v>1.1338998332735E-2</v>
      </c>
      <c r="AG83">
        <v>7.6313903004410497E-3</v>
      </c>
      <c r="AH83">
        <v>5.5921930861028901E-3</v>
      </c>
      <c r="AI83">
        <v>4.2784297881317501</v>
      </c>
    </row>
    <row r="84" spans="1:35" x14ac:dyDescent="0.35">
      <c r="A84" s="9"/>
      <c r="B84" s="9">
        <v>0.91800000000000004</v>
      </c>
      <c r="C84" s="9">
        <v>50.7599408296227</v>
      </c>
      <c r="D84" s="9">
        <v>148.63184796792399</v>
      </c>
      <c r="E84" s="9">
        <v>0.19883499809258401</v>
      </c>
      <c r="F84" s="9">
        <v>0.15403042917474</v>
      </c>
      <c r="G84" s="9">
        <v>0.11858013064579701</v>
      </c>
      <c r="H84" s="9">
        <v>72.793294772517996</v>
      </c>
      <c r="AC84" s="49">
        <v>0.59</v>
      </c>
      <c r="AD84">
        <v>1.64850698208786</v>
      </c>
      <c r="AE84">
        <v>6.8457332099281896</v>
      </c>
      <c r="AF84">
        <v>9.9968848982660407E-3</v>
      </c>
      <c r="AG84">
        <v>6.6403626905028202E-3</v>
      </c>
      <c r="AH84">
        <v>4.8307529348313302E-3</v>
      </c>
      <c r="AI84">
        <v>3.6747631945732699</v>
      </c>
    </row>
    <row r="85" spans="1:35" x14ac:dyDescent="0.35">
      <c r="A85" s="9"/>
      <c r="B85" s="9">
        <v>0.91700000000000004</v>
      </c>
      <c r="C85" s="9">
        <v>48.951023773613201</v>
      </c>
      <c r="D85" s="9">
        <v>144.66292973953699</v>
      </c>
      <c r="E85" s="9">
        <v>0.194542583399542</v>
      </c>
      <c r="F85" s="9">
        <v>0.150272456073276</v>
      </c>
      <c r="G85" s="9">
        <v>0.114845392600211</v>
      </c>
      <c r="H85" s="9">
        <v>70.325904926479794</v>
      </c>
      <c r="AC85" s="49">
        <v>0.58499999999999996</v>
      </c>
      <c r="AD85">
        <v>1.3100402169571099</v>
      </c>
      <c r="AE85">
        <v>5.6626417393498398</v>
      </c>
      <c r="AF85">
        <v>8.6547714637970497E-3</v>
      </c>
      <c r="AG85">
        <v>5.6493350805645803E-3</v>
      </c>
      <c r="AH85">
        <v>4.0693127835597798E-3</v>
      </c>
      <c r="AI85">
        <v>3.0710966010147902</v>
      </c>
    </row>
    <row r="86" spans="1:35" x14ac:dyDescent="0.35">
      <c r="A86" s="9"/>
      <c r="B86" s="9">
        <v>0.91600000000000004</v>
      </c>
      <c r="C86" s="9">
        <v>47.8874216231345</v>
      </c>
      <c r="D86" s="9">
        <v>141.216075180708</v>
      </c>
      <c r="E86" s="9">
        <v>0.19052270938549201</v>
      </c>
      <c r="F86" s="9">
        <v>0.14694902599221299</v>
      </c>
      <c r="G86" s="9">
        <v>0.112149035355011</v>
      </c>
      <c r="H86" s="9">
        <v>68.788392600627205</v>
      </c>
      <c r="AB86">
        <v>0.57999999999999996</v>
      </c>
      <c r="AC86" s="49">
        <v>0.57999999999999996</v>
      </c>
      <c r="AD86">
        <v>1.13535225412172</v>
      </c>
      <c r="AE86">
        <v>4.9637981721180902</v>
      </c>
      <c r="AF86">
        <v>7.7067946623542403E-3</v>
      </c>
      <c r="AG86">
        <v>4.9361191487690102E-3</v>
      </c>
      <c r="AH86">
        <v>3.5301766409017101E-3</v>
      </c>
      <c r="AI86">
        <v>2.6854516151148</v>
      </c>
    </row>
    <row r="87" spans="1:35" x14ac:dyDescent="0.35">
      <c r="A87" s="9"/>
      <c r="B87" s="9">
        <v>0.91500000000000004</v>
      </c>
      <c r="C87" s="9">
        <v>47.194104815649503</v>
      </c>
      <c r="D87" s="9">
        <v>138.733517526903</v>
      </c>
      <c r="E87" s="9">
        <v>0.187521197541478</v>
      </c>
      <c r="F87" s="9">
        <v>0.14454673362942499</v>
      </c>
      <c r="G87" s="9">
        <v>0.109870774199239</v>
      </c>
      <c r="H87" s="9">
        <v>67.605990352276393</v>
      </c>
      <c r="AC87" s="49">
        <v>0.57499999999999996</v>
      </c>
      <c r="AD87">
        <v>1.0357693896551501</v>
      </c>
      <c r="AE87">
        <v>4.4870192793498198</v>
      </c>
      <c r="AF87">
        <v>6.9395596307821996E-3</v>
      </c>
      <c r="AG87">
        <v>4.3503011043830603E-3</v>
      </c>
      <c r="AH87">
        <v>3.0929838767559999E-3</v>
      </c>
      <c r="AI87">
        <v>2.3997861995879401</v>
      </c>
    </row>
    <row r="88" spans="1:35" x14ac:dyDescent="0.35">
      <c r="A88" s="9"/>
      <c r="B88" s="9">
        <v>0.91400000000000003</v>
      </c>
      <c r="C88" s="9">
        <v>46.691661026468701</v>
      </c>
      <c r="D88" s="9">
        <v>136.906196548293</v>
      </c>
      <c r="E88" s="9">
        <v>0.18507168063865301</v>
      </c>
      <c r="F88" s="9">
        <v>0.14271305390779701</v>
      </c>
      <c r="G88" s="9">
        <v>0.107786701582541</v>
      </c>
      <c r="H88" s="9">
        <v>66.582568027226401</v>
      </c>
      <c r="AC88" s="49">
        <v>0.56999999999999995</v>
      </c>
      <c r="AD88">
        <v>0.93618652518859002</v>
      </c>
      <c r="AE88">
        <v>4.0102403865815699</v>
      </c>
      <c r="AF88">
        <v>6.17232459921019E-3</v>
      </c>
      <c r="AG88">
        <v>3.76448305999713E-3</v>
      </c>
      <c r="AH88">
        <v>2.6557911126102998E-3</v>
      </c>
      <c r="AI88">
        <v>2.1141207840610901</v>
      </c>
    </row>
    <row r="89" spans="1:35" x14ac:dyDescent="0.35">
      <c r="A89" s="9"/>
      <c r="B89" s="9">
        <v>0.91300000000000003</v>
      </c>
      <c r="C89" s="9">
        <v>46.301164649154501</v>
      </c>
      <c r="D89" s="9">
        <v>134.63817136933099</v>
      </c>
      <c r="E89" s="9">
        <v>0.18212972744667799</v>
      </c>
      <c r="F89" s="9">
        <v>0.14044583703529601</v>
      </c>
      <c r="G89" s="9">
        <v>0.105969095769137</v>
      </c>
      <c r="H89" s="9">
        <v>65.759782696173303</v>
      </c>
      <c r="AC89" s="49">
        <v>0.56499999999999995</v>
      </c>
      <c r="AD89">
        <v>0.83660366072201997</v>
      </c>
      <c r="AE89">
        <v>3.5334614938132902</v>
      </c>
      <c r="AF89">
        <v>5.4050895676381501E-3</v>
      </c>
      <c r="AG89">
        <v>3.1786650156111701E-3</v>
      </c>
      <c r="AH89">
        <v>2.2185983484645801E-3</v>
      </c>
      <c r="AI89">
        <v>1.82845536853423</v>
      </c>
    </row>
    <row r="90" spans="1:35" x14ac:dyDescent="0.35">
      <c r="A90" s="9"/>
      <c r="B90" s="9">
        <v>0.91200000000000003</v>
      </c>
      <c r="C90" s="9">
        <v>46.163816604109698</v>
      </c>
      <c r="D90" s="9">
        <v>131.82210432231099</v>
      </c>
      <c r="E90" s="9">
        <v>0.17860083499510801</v>
      </c>
      <c r="F90" s="9">
        <v>0.13763520916101801</v>
      </c>
      <c r="G90" s="9">
        <v>0.104583563863945</v>
      </c>
      <c r="H90" s="9">
        <v>65.330014297626406</v>
      </c>
      <c r="AB90">
        <v>0.56000000000000005</v>
      </c>
      <c r="AC90" s="49">
        <v>0.56000000000000005</v>
      </c>
      <c r="AD90">
        <v>0</v>
      </c>
      <c r="AE90">
        <v>0</v>
      </c>
      <c r="AF90">
        <v>0</v>
      </c>
      <c r="AG90">
        <v>0</v>
      </c>
      <c r="AH90">
        <v>0</v>
      </c>
      <c r="AI90">
        <v>0</v>
      </c>
    </row>
    <row r="91" spans="1:35" x14ac:dyDescent="0.35">
      <c r="A91" s="9"/>
      <c r="B91" s="9">
        <v>0.91100000000000003</v>
      </c>
      <c r="C91" s="9">
        <v>45.818069504454101</v>
      </c>
      <c r="D91" s="9">
        <v>129.34286193661001</v>
      </c>
      <c r="E91" s="9">
        <v>0.175526078253669</v>
      </c>
      <c r="F91" s="9">
        <v>0.13511726887522299</v>
      </c>
      <c r="G91" s="9">
        <v>0.102971987631279</v>
      </c>
      <c r="H91" s="9">
        <v>64.655266689015406</v>
      </c>
    </row>
    <row r="92" spans="1:35" x14ac:dyDescent="0.35">
      <c r="A92" s="9">
        <v>0.91</v>
      </c>
      <c r="B92" s="9">
        <v>0.91</v>
      </c>
      <c r="C92" s="9">
        <v>45.240290312255603</v>
      </c>
      <c r="D92" s="9">
        <v>126.824749343566</v>
      </c>
      <c r="E92" s="9">
        <v>0.17239910057246799</v>
      </c>
      <c r="F92" s="9">
        <v>0.13258407576676101</v>
      </c>
      <c r="G92" s="9">
        <v>0.101028810423076</v>
      </c>
      <c r="H92" s="9">
        <v>63.556502568183703</v>
      </c>
    </row>
    <row r="93" spans="1:35" x14ac:dyDescent="0.35">
      <c r="A93" s="9"/>
      <c r="B93" s="9">
        <v>0.90900000000000003</v>
      </c>
      <c r="C93" s="9">
        <v>44.552990235019699</v>
      </c>
      <c r="D93" s="9">
        <v>123.552491416477</v>
      </c>
      <c r="E93" s="9">
        <v>0.16854940889381001</v>
      </c>
      <c r="F93" s="9">
        <v>0.12933620273551799</v>
      </c>
      <c r="G93" s="9">
        <v>9.9234021056223198E-2</v>
      </c>
      <c r="H93" s="9">
        <v>62.342840599274503</v>
      </c>
      <c r="K93" s="42"/>
    </row>
    <row r="94" spans="1:35" x14ac:dyDescent="0.35">
      <c r="A94" s="9"/>
      <c r="B94" s="9">
        <v>0.90800000000000003</v>
      </c>
      <c r="C94" s="9">
        <v>43.7759070450835</v>
      </c>
      <c r="D94" s="9">
        <v>119.578068599848</v>
      </c>
      <c r="E94" s="9">
        <v>0.16423707937706</v>
      </c>
      <c r="F94" s="9">
        <v>0.12549838678294101</v>
      </c>
      <c r="G94" s="9">
        <v>9.7334624355376806E-2</v>
      </c>
      <c r="H94" s="9">
        <v>61.0746907216704</v>
      </c>
      <c r="K94" s="42"/>
    </row>
    <row r="95" spans="1:35" x14ac:dyDescent="0.35">
      <c r="A95" s="9"/>
      <c r="B95" s="9">
        <v>0.90700000000000003</v>
      </c>
      <c r="C95" s="9">
        <v>42.859217527780402</v>
      </c>
      <c r="D95" s="9">
        <v>117.610212933279</v>
      </c>
      <c r="E95" s="9">
        <v>0.162149711614547</v>
      </c>
      <c r="F95" s="9">
        <v>0.123657956699843</v>
      </c>
      <c r="G95" s="9">
        <v>9.4992625092376298E-2</v>
      </c>
      <c r="H95" s="9">
        <v>59.584353719038901</v>
      </c>
    </row>
    <row r="96" spans="1:35" x14ac:dyDescent="0.35">
      <c r="A96" s="9"/>
      <c r="B96" s="9">
        <v>0.90600000000000003</v>
      </c>
      <c r="C96" s="9">
        <v>41.569055740833903</v>
      </c>
      <c r="D96" s="9">
        <v>115.691201061577</v>
      </c>
      <c r="E96" s="9">
        <v>0.160327634480535</v>
      </c>
      <c r="F96" s="9">
        <v>0.122031594796899</v>
      </c>
      <c r="G96" s="9">
        <v>9.2055316396620304E-2</v>
      </c>
      <c r="H96" s="9">
        <v>57.534846727978703</v>
      </c>
    </row>
    <row r="97" spans="1:8" x14ac:dyDescent="0.35">
      <c r="A97" s="9"/>
      <c r="B97" s="9">
        <v>0.90500000000000003</v>
      </c>
      <c r="C97" s="9">
        <v>40.654582049532301</v>
      </c>
      <c r="D97" s="9">
        <v>112.214781075636</v>
      </c>
      <c r="E97" s="9">
        <v>0.156757579535934</v>
      </c>
      <c r="F97" s="9">
        <v>0.118802428336789</v>
      </c>
      <c r="G97" s="9">
        <v>9.0348280483690299E-2</v>
      </c>
      <c r="H97" s="9">
        <v>56.110766127666601</v>
      </c>
    </row>
    <row r="98" spans="1:8" x14ac:dyDescent="0.35">
      <c r="A98" s="9"/>
      <c r="B98" s="9">
        <v>0.90400000000000003</v>
      </c>
      <c r="C98" s="9">
        <v>39.840002730645502</v>
      </c>
      <c r="D98" s="9">
        <v>109.56801376569101</v>
      </c>
      <c r="E98" s="9">
        <v>0.15396844154192199</v>
      </c>
      <c r="F98" s="9">
        <v>0.116330843740881</v>
      </c>
      <c r="G98" s="9">
        <v>8.8877890008727006E-2</v>
      </c>
      <c r="H98" s="9">
        <v>54.8344439084849</v>
      </c>
    </row>
    <row r="99" spans="1:8" x14ac:dyDescent="0.35">
      <c r="A99" s="9"/>
      <c r="B99" s="9">
        <v>0.90300000000000002</v>
      </c>
      <c r="C99" s="9">
        <v>38.828541079907403</v>
      </c>
      <c r="D99" s="9">
        <v>108.608348928677</v>
      </c>
      <c r="E99" s="9">
        <v>0.15288233362456299</v>
      </c>
      <c r="F99" s="9">
        <v>0.115546679537521</v>
      </c>
      <c r="G99" s="9">
        <v>8.6823326691359295E-2</v>
      </c>
      <c r="H99" s="9">
        <v>53.2273880960011</v>
      </c>
    </row>
    <row r="100" spans="1:8" x14ac:dyDescent="0.35">
      <c r="A100" s="9"/>
      <c r="B100" s="9">
        <v>0.90200000000000002</v>
      </c>
      <c r="C100" s="9">
        <v>37.965185719181903</v>
      </c>
      <c r="D100" s="9">
        <v>107.01637921030201</v>
      </c>
      <c r="E100" s="9">
        <v>0.151338745051565</v>
      </c>
      <c r="F100" s="9">
        <v>0.114428011799841</v>
      </c>
      <c r="G100" s="9">
        <v>8.4974142520133203E-2</v>
      </c>
      <c r="H100" s="9">
        <v>51.764222668694003</v>
      </c>
    </row>
    <row r="101" spans="1:8" x14ac:dyDescent="0.35">
      <c r="A101" s="9"/>
      <c r="B101" s="9">
        <v>0.90100000000000002</v>
      </c>
      <c r="C101" s="9">
        <v>37.766802570819202</v>
      </c>
      <c r="D101" s="9">
        <v>105.10132723176901</v>
      </c>
      <c r="E101" s="9">
        <v>0.14926528710491199</v>
      </c>
      <c r="F101" s="9">
        <v>0.112964751688837</v>
      </c>
      <c r="G101" s="9">
        <v>8.4414110652183405E-2</v>
      </c>
      <c r="H101" s="9">
        <v>51.254384242793897</v>
      </c>
    </row>
    <row r="102" spans="1:8" x14ac:dyDescent="0.35">
      <c r="A102" s="50">
        <v>0.9</v>
      </c>
      <c r="B102" s="9">
        <v>0.9</v>
      </c>
      <c r="C102" s="9">
        <v>37.109698623208402</v>
      </c>
      <c r="D102" s="9">
        <v>104.89552156440899</v>
      </c>
      <c r="E102" s="9">
        <v>0.148737732865348</v>
      </c>
      <c r="F102" s="9">
        <v>0.112904783853427</v>
      </c>
      <c r="G102" s="9">
        <v>8.3101651095296797E-2</v>
      </c>
      <c r="H102" s="9">
        <v>50.228624097587598</v>
      </c>
    </row>
    <row r="103" spans="1:8" x14ac:dyDescent="0.35">
      <c r="A103" s="9"/>
      <c r="B103" s="9">
        <v>0.89900000000000002</v>
      </c>
      <c r="C103" s="9">
        <v>36.446841202657197</v>
      </c>
      <c r="D103" s="9">
        <v>104.51381394225</v>
      </c>
      <c r="E103" s="9">
        <v>0.14801406952937399</v>
      </c>
      <c r="F103" s="9">
        <v>0.11274172183252899</v>
      </c>
      <c r="G103" s="9">
        <v>8.1682222949078398E-2</v>
      </c>
      <c r="H103" s="9">
        <v>49.2108369162532</v>
      </c>
    </row>
    <row r="104" spans="1:8" x14ac:dyDescent="0.35">
      <c r="A104" s="9"/>
      <c r="B104" s="9">
        <v>0.89800000000000002</v>
      </c>
      <c r="C104" s="9">
        <v>36.2415704652092</v>
      </c>
      <c r="D104" s="9">
        <v>102.493145542245</v>
      </c>
      <c r="E104" s="9">
        <v>0.14559563836551401</v>
      </c>
      <c r="F104" s="9">
        <v>0.11103768033912199</v>
      </c>
      <c r="G104" s="9">
        <v>8.1100607189023594E-2</v>
      </c>
      <c r="H104" s="9">
        <v>48.7743525503275</v>
      </c>
    </row>
    <row r="105" spans="1:8" x14ac:dyDescent="0.35">
      <c r="A105" s="9"/>
      <c r="B105" s="9">
        <v>0.89700000000000002</v>
      </c>
      <c r="C105" s="9">
        <v>36.162505419807097</v>
      </c>
      <c r="D105" s="9">
        <v>99.821491955734302</v>
      </c>
      <c r="E105" s="9">
        <v>0.142290621524989</v>
      </c>
      <c r="F105" s="9">
        <v>0.10850822853077401</v>
      </c>
      <c r="G105" s="9">
        <v>8.0793644851596402E-2</v>
      </c>
      <c r="H105" s="9">
        <v>48.500252584454003</v>
      </c>
    </row>
    <row r="106" spans="1:8" x14ac:dyDescent="0.35">
      <c r="A106" s="9"/>
      <c r="B106" s="9">
        <v>0.89600000000000002</v>
      </c>
      <c r="C106" s="9">
        <v>35.550968432033102</v>
      </c>
      <c r="D106" s="9">
        <v>97.3280077205944</v>
      </c>
      <c r="E106" s="9">
        <v>0.139095234034741</v>
      </c>
      <c r="F106" s="9">
        <v>0.10601381600910401</v>
      </c>
      <c r="G106" s="9">
        <v>7.94920221870348E-2</v>
      </c>
      <c r="H106" s="9">
        <v>47.569748217296997</v>
      </c>
    </row>
    <row r="107" spans="1:8" x14ac:dyDescent="0.35">
      <c r="A107" s="9"/>
      <c r="B107" s="9">
        <v>0.89500000000000002</v>
      </c>
      <c r="C107" s="9">
        <v>34.562941080715198</v>
      </c>
      <c r="D107" s="9">
        <v>95.066287006123801</v>
      </c>
      <c r="E107" s="9">
        <v>0.13638676308072201</v>
      </c>
      <c r="F107" s="9">
        <v>0.103947617168254</v>
      </c>
      <c r="G107" s="9">
        <v>7.7422686671650101E-2</v>
      </c>
      <c r="H107" s="9">
        <v>46.229930788795301</v>
      </c>
    </row>
    <row r="108" spans="1:8" x14ac:dyDescent="0.35">
      <c r="A108" s="9"/>
      <c r="B108" s="9">
        <v>0.89400000000000002</v>
      </c>
      <c r="C108" s="9">
        <v>33.527696441539703</v>
      </c>
      <c r="D108" s="9">
        <v>92.432710021533495</v>
      </c>
      <c r="E108" s="9">
        <v>0.133393826361659</v>
      </c>
      <c r="F108" s="9">
        <v>0.10144793610835701</v>
      </c>
      <c r="G108" s="9">
        <v>7.5300169569105804E-2</v>
      </c>
      <c r="H108" s="9">
        <v>44.8628555344823</v>
      </c>
    </row>
    <row r="109" spans="1:8" x14ac:dyDescent="0.35">
      <c r="A109" s="9"/>
      <c r="B109" s="9">
        <v>0.89300000000000002</v>
      </c>
      <c r="C109" s="9">
        <v>32.482771263587203</v>
      </c>
      <c r="D109" s="9">
        <v>89.646379834884101</v>
      </c>
      <c r="E109" s="9">
        <v>0.129975184205604</v>
      </c>
      <c r="F109" s="9">
        <v>9.8488371074245504E-2</v>
      </c>
      <c r="G109" s="9">
        <v>7.3179929552668194E-2</v>
      </c>
      <c r="H109" s="9">
        <v>43.492267651136899</v>
      </c>
    </row>
    <row r="110" spans="1:8" x14ac:dyDescent="0.35">
      <c r="A110" s="9"/>
      <c r="B110" s="9">
        <v>0.89200000000000002</v>
      </c>
      <c r="C110" s="9">
        <v>31.428283104395401</v>
      </c>
      <c r="D110" s="9">
        <v>87.028048078790405</v>
      </c>
      <c r="E110" s="9">
        <v>0.12670007107376</v>
      </c>
      <c r="F110" s="9">
        <v>9.55444191501678E-2</v>
      </c>
      <c r="G110" s="9">
        <v>7.1052744726793002E-2</v>
      </c>
      <c r="H110" s="9">
        <v>42.112418554438399</v>
      </c>
    </row>
    <row r="111" spans="1:8" x14ac:dyDescent="0.35">
      <c r="A111" s="9"/>
      <c r="B111" s="9">
        <v>0.89100000000000001</v>
      </c>
      <c r="C111" s="9">
        <v>30.356057931301098</v>
      </c>
      <c r="D111" s="9">
        <v>84.449131727272004</v>
      </c>
      <c r="E111" s="9">
        <v>0.12360119866465399</v>
      </c>
      <c r="F111" s="9">
        <v>9.2700130470990599E-2</v>
      </c>
      <c r="G111" s="9">
        <v>6.8898681430203501E-2</v>
      </c>
      <c r="H111" s="9">
        <v>40.713764834172103</v>
      </c>
    </row>
    <row r="112" spans="1:8" x14ac:dyDescent="0.35">
      <c r="A112" s="9">
        <v>0.89</v>
      </c>
      <c r="B112" s="9">
        <v>0.89</v>
      </c>
      <c r="C112" s="9">
        <v>29.260754097509199</v>
      </c>
      <c r="D112" s="9">
        <v>81.844963724671501</v>
      </c>
      <c r="E112" s="9">
        <v>0.12051479736935</v>
      </c>
      <c r="F112" s="9">
        <v>8.99040627974034E-2</v>
      </c>
      <c r="G112" s="9">
        <v>6.6704301636804894E-2</v>
      </c>
      <c r="H112" s="9">
        <v>39.290918158213003</v>
      </c>
    </row>
    <row r="113" spans="1:8" x14ac:dyDescent="0.35">
      <c r="A113" s="9"/>
      <c r="B113" s="9">
        <v>0.88900000000000001</v>
      </c>
      <c r="C113" s="9">
        <v>28.140949975691999</v>
      </c>
      <c r="D113" s="9">
        <v>79.191840197113805</v>
      </c>
      <c r="E113" s="9">
        <v>0.117365066727748</v>
      </c>
      <c r="F113" s="9">
        <v>8.7103093472701995E-2</v>
      </c>
      <c r="G113" s="9">
        <v>6.4462245595122994E-2</v>
      </c>
      <c r="H113" s="9">
        <v>37.842818012737801</v>
      </c>
    </row>
    <row r="114" spans="1:8" x14ac:dyDescent="0.35">
      <c r="A114" s="9"/>
      <c r="B114" s="9">
        <v>0.88800000000000001</v>
      </c>
      <c r="C114" s="9">
        <v>26.997035445695701</v>
      </c>
      <c r="D114" s="9">
        <v>76.486173663646497</v>
      </c>
      <c r="E114" s="9">
        <v>0.114126984097056</v>
      </c>
      <c r="F114" s="9">
        <v>8.4270274648314505E-2</v>
      </c>
      <c r="G114" s="9">
        <v>6.2168789067593599E-2</v>
      </c>
      <c r="H114" s="9">
        <v>36.370289922876097</v>
      </c>
    </row>
    <row r="115" spans="1:8" x14ac:dyDescent="0.35">
      <c r="A115" s="9"/>
      <c r="B115" s="9">
        <v>0.88700000000000001</v>
      </c>
      <c r="C115" s="9">
        <v>25.829881802835398</v>
      </c>
      <c r="D115" s="9">
        <v>73.730520272643005</v>
      </c>
      <c r="E115" s="9">
        <v>0.110794720371639</v>
      </c>
      <c r="F115" s="9">
        <v>8.1393919169055307E-2</v>
      </c>
      <c r="G115" s="9">
        <v>5.9822274980855898E-2</v>
      </c>
      <c r="H115" s="9">
        <v>34.874603238008397</v>
      </c>
    </row>
    <row r="116" spans="1:8" x14ac:dyDescent="0.35">
      <c r="A116" s="9"/>
      <c r="B116" s="9">
        <v>0.88600000000000001</v>
      </c>
      <c r="C116" s="9">
        <v>24.640511830963298</v>
      </c>
      <c r="D116" s="9">
        <v>70.929129121837605</v>
      </c>
      <c r="E116" s="9">
        <v>0.10736981555055899</v>
      </c>
      <c r="F116" s="9">
        <v>7.8469781914538503E-2</v>
      </c>
      <c r="G116" s="9">
        <v>5.7422294809019503E-2</v>
      </c>
      <c r="H116" s="9">
        <v>33.357135416100498</v>
      </c>
    </row>
    <row r="117" spans="1:8" x14ac:dyDescent="0.35">
      <c r="A117" s="9"/>
      <c r="B117" s="9">
        <v>0.88500000000000001</v>
      </c>
      <c r="C117" s="9">
        <v>23.429832310587599</v>
      </c>
      <c r="D117" s="9">
        <v>68.086782250336299</v>
      </c>
      <c r="E117" s="9">
        <v>0.103857686039941</v>
      </c>
      <c r="F117" s="9">
        <v>7.5497792967192598E-2</v>
      </c>
      <c r="G117" s="9">
        <v>5.4969392391378102E-2</v>
      </c>
      <c r="H117" s="9">
        <v>31.819149739109701</v>
      </c>
    </row>
    <row r="118" spans="1:8" x14ac:dyDescent="0.35">
      <c r="A118" s="9"/>
      <c r="B118" s="9">
        <v>0.88400000000000001</v>
      </c>
      <c r="C118" s="9">
        <v>22.1983665562752</v>
      </c>
      <c r="D118" s="9">
        <v>65.208804882361605</v>
      </c>
      <c r="E118" s="9">
        <v>0.100267263405475</v>
      </c>
      <c r="F118" s="9">
        <v>7.2481057867047796E-2</v>
      </c>
      <c r="G118" s="9">
        <v>5.24650787852401E-2</v>
      </c>
      <c r="H118" s="9">
        <v>30.2616055118479</v>
      </c>
    </row>
    <row r="119" spans="1:8" x14ac:dyDescent="0.35">
      <c r="A119" s="9"/>
      <c r="B119" s="9">
        <v>0.88300000000000001</v>
      </c>
      <c r="C119" s="9">
        <v>20.94656136467</v>
      </c>
      <c r="D119" s="9">
        <v>62.299592678616897</v>
      </c>
      <c r="E119" s="9">
        <v>9.6606942579797198E-2</v>
      </c>
      <c r="F119" s="9">
        <v>6.9423125255124299E-2</v>
      </c>
      <c r="G119" s="9">
        <v>4.9910996053650999E-2</v>
      </c>
      <c r="H119" s="9">
        <v>28.685313280075</v>
      </c>
    </row>
    <row r="120" spans="1:8" x14ac:dyDescent="0.35">
      <c r="A120" s="9"/>
      <c r="B120" s="9">
        <v>0.88200000000000001</v>
      </c>
      <c r="C120" s="9">
        <v>19.6748459962871</v>
      </c>
      <c r="D120" s="9">
        <v>59.362377567161197</v>
      </c>
      <c r="E120" s="9">
        <v>9.2883671235584497E-2</v>
      </c>
      <c r="F120" s="9">
        <v>6.6327249235075006E-2</v>
      </c>
      <c r="G120" s="9">
        <v>4.7308698111966099E-2</v>
      </c>
      <c r="H120" s="9">
        <v>27.090968037976602</v>
      </c>
    </row>
    <row r="121" spans="1:8" x14ac:dyDescent="0.35">
      <c r="A121" s="9"/>
      <c r="B121" s="9">
        <v>0.88100000000000001</v>
      </c>
      <c r="C121" s="9">
        <v>18.3836185304467</v>
      </c>
      <c r="D121" s="9">
        <v>56.399321889327197</v>
      </c>
      <c r="E121" s="9">
        <v>8.9102963042955993E-2</v>
      </c>
      <c r="F121" s="9">
        <v>6.3196267513990698E-2</v>
      </c>
      <c r="G121" s="9">
        <v>4.4659620923250501E-2</v>
      </c>
      <c r="H121" s="9">
        <v>25.479144554265801</v>
      </c>
    </row>
    <row r="122" spans="1:8" x14ac:dyDescent="0.35">
      <c r="A122" s="9">
        <v>0.88</v>
      </c>
      <c r="B122" s="9">
        <v>0.88</v>
      </c>
      <c r="C122" s="9">
        <v>17.0732462006265</v>
      </c>
      <c r="D122" s="9">
        <v>53.4111337072395</v>
      </c>
      <c r="E122" s="9">
        <v>8.5268564149870704E-2</v>
      </c>
      <c r="F122" s="9">
        <v>6.00324261195474E-2</v>
      </c>
      <c r="G122" s="9">
        <v>4.1964997920882298E-2</v>
      </c>
      <c r="H122" s="9">
        <v>23.850246565053801</v>
      </c>
    </row>
    <row r="123" spans="1:8" x14ac:dyDescent="0.35">
      <c r="A123" s="9"/>
      <c r="B123" s="9">
        <v>0.879</v>
      </c>
      <c r="C123" s="9">
        <v>15.744059242701301</v>
      </c>
      <c r="D123" s="9">
        <v>50.3972559989326</v>
      </c>
      <c r="E123" s="9">
        <v>8.1382614010455906E-2</v>
      </c>
      <c r="F123" s="9">
        <v>5.6837384741824801E-2</v>
      </c>
      <c r="G123" s="9">
        <v>3.9225853945286E-2</v>
      </c>
      <c r="H123" s="9">
        <v>22.204512646723401</v>
      </c>
    </row>
    <row r="124" spans="1:8" x14ac:dyDescent="0.35">
      <c r="A124" s="9"/>
      <c r="B124" s="9">
        <v>0.878</v>
      </c>
      <c r="C124" s="9">
        <v>14.3963394206622</v>
      </c>
      <c r="D124" s="9">
        <v>47.3568100022095</v>
      </c>
      <c r="E124" s="9">
        <v>7.7446450284119395E-2</v>
      </c>
      <c r="F124" s="9">
        <v>5.3612455242923102E-2</v>
      </c>
      <c r="G124" s="9">
        <v>3.6443120373715901E-2</v>
      </c>
      <c r="H124" s="9">
        <v>20.5421107978637</v>
      </c>
    </row>
    <row r="125" spans="1:8" x14ac:dyDescent="0.35">
      <c r="A125" s="9"/>
      <c r="B125" s="9">
        <v>0.877</v>
      </c>
      <c r="C125" s="9">
        <v>13.030324559335799</v>
      </c>
      <c r="D125" s="9">
        <v>44.288704316028699</v>
      </c>
      <c r="E125" s="9">
        <v>7.3460732340038207E-2</v>
      </c>
      <c r="F125" s="9">
        <v>5.0358640770715002E-2</v>
      </c>
      <c r="G125" s="9">
        <v>3.3617646660235603E-2</v>
      </c>
      <c r="H125" s="9">
        <v>18.863152985920902</v>
      </c>
    </row>
    <row r="126" spans="1:8" x14ac:dyDescent="0.35">
      <c r="A126" s="9"/>
      <c r="B126" s="9">
        <v>0.876</v>
      </c>
      <c r="C126" s="9">
        <v>11.646220580530899</v>
      </c>
      <c r="D126" s="9">
        <v>41.191674491189403</v>
      </c>
      <c r="E126" s="9">
        <v>6.9425431559508102E-2</v>
      </c>
      <c r="F126" s="9">
        <v>4.70766342523916E-2</v>
      </c>
      <c r="G126" s="9">
        <v>3.0750209585078701E-2</v>
      </c>
      <c r="H126" s="9">
        <v>17.167710822879801</v>
      </c>
    </row>
    <row r="127" spans="1:8" x14ac:dyDescent="0.35">
      <c r="A127" s="9"/>
      <c r="B127" s="9">
        <v>0.875</v>
      </c>
      <c r="C127" s="9">
        <v>10.2442535030087</v>
      </c>
      <c r="D127" s="9">
        <v>38.064317992401001</v>
      </c>
      <c r="E127" s="9">
        <v>6.5339357688571201E-2</v>
      </c>
      <c r="F127" s="9">
        <v>4.3766658310899202E-2</v>
      </c>
      <c r="G127" s="9">
        <v>2.7841553932993399E-2</v>
      </c>
      <c r="H127" s="9">
        <v>15.455879773273701</v>
      </c>
    </row>
    <row r="128" spans="1:8" x14ac:dyDescent="0.35">
      <c r="A128" s="9"/>
      <c r="B128" s="9">
        <v>0.874</v>
      </c>
      <c r="C128" s="9">
        <v>8.8246480616427103</v>
      </c>
      <c r="D128" s="9">
        <v>34.905126623290599</v>
      </c>
      <c r="E128" s="9">
        <v>6.1200575160522401E-2</v>
      </c>
      <c r="F128" s="9">
        <v>4.0428612295002102E-2</v>
      </c>
      <c r="G128" s="9">
        <v>2.4892377346398001E-2</v>
      </c>
      <c r="H128" s="9">
        <v>13.7277537269132</v>
      </c>
    </row>
    <row r="129" spans="1:8" x14ac:dyDescent="0.35">
      <c r="A129" s="9"/>
      <c r="B129" s="9">
        <v>0.873</v>
      </c>
      <c r="C129" s="9">
        <v>7.3876054015108901</v>
      </c>
      <c r="D129" s="9">
        <v>31.7125139248149</v>
      </c>
      <c r="E129" s="9">
        <v>5.70067823482098E-2</v>
      </c>
      <c r="F129" s="9">
        <v>3.7062207278127597E-2</v>
      </c>
      <c r="G129" s="9">
        <v>2.1903314721719899E-2</v>
      </c>
      <c r="H129" s="9">
        <v>11.983398440778</v>
      </c>
    </row>
    <row r="130" spans="1:8" x14ac:dyDescent="0.35">
      <c r="A130" s="9"/>
      <c r="B130" s="9">
        <v>0.872</v>
      </c>
      <c r="C130" s="9">
        <v>5.9333058363202102</v>
      </c>
      <c r="D130" s="9">
        <v>28.484839310958499</v>
      </c>
      <c r="E130" s="9">
        <v>5.2755371896525703E-2</v>
      </c>
      <c r="F130" s="9">
        <v>3.3666991155873599E-2</v>
      </c>
      <c r="G130" s="9">
        <v>1.8874941971155398E-2</v>
      </c>
      <c r="H130" s="9">
        <v>10.222855603695001</v>
      </c>
    </row>
    <row r="131" spans="1:8" x14ac:dyDescent="0.35">
      <c r="A131" s="9"/>
      <c r="B131" s="9">
        <v>0.871</v>
      </c>
      <c r="C131" s="9">
        <v>4.4618777380318502</v>
      </c>
      <c r="D131" s="9">
        <v>25.2205578117111</v>
      </c>
      <c r="E131" s="9">
        <v>4.8443834745879398E-2</v>
      </c>
      <c r="F131" s="9">
        <v>3.02424508139125E-2</v>
      </c>
      <c r="G131" s="9">
        <v>1.5807728147489802E-2</v>
      </c>
      <c r="H131" s="9">
        <v>8.4461256431326994</v>
      </c>
    </row>
    <row r="132" spans="1:8" x14ac:dyDescent="0.35">
      <c r="A132" s="9">
        <v>0.87</v>
      </c>
      <c r="B132" s="9">
        <v>0.87</v>
      </c>
      <c r="C132" s="9">
        <v>2.9733548204373199</v>
      </c>
      <c r="D132" s="9">
        <v>21.9184405862432</v>
      </c>
      <c r="E132" s="9">
        <v>4.4070364948786703E-2</v>
      </c>
      <c r="F132" s="9">
        <v>2.6788172670177999E-2</v>
      </c>
      <c r="G132" s="9">
        <v>1.2701971380846999E-2</v>
      </c>
      <c r="H132" s="9">
        <v>6.6531452072585502</v>
      </c>
    </row>
    <row r="133" spans="1:8" x14ac:dyDescent="0.35">
      <c r="A133" s="9"/>
      <c r="B133" s="9">
        <v>0.86899999999999999</v>
      </c>
      <c r="C133" s="9">
        <v>1.4677430435602701</v>
      </c>
      <c r="D133" s="9">
        <v>18.577377031181999</v>
      </c>
      <c r="E133" s="9">
        <v>3.9633331773139199E-2</v>
      </c>
      <c r="F133" s="9">
        <v>2.3303748902604601E-2</v>
      </c>
      <c r="G133" s="9">
        <v>9.5579041113698603E-3</v>
      </c>
      <c r="H133" s="9">
        <v>4.8438331062698001</v>
      </c>
    </row>
    <row r="134" spans="1:8" x14ac:dyDescent="0.35">
      <c r="A134" s="9"/>
      <c r="B134" s="9">
        <v>0.86799999999999999</v>
      </c>
      <c r="C134" s="9">
        <v>0</v>
      </c>
      <c r="D134" s="9">
        <v>15.1963358332205</v>
      </c>
      <c r="E134" s="9">
        <v>3.5131185689634199E-2</v>
      </c>
      <c r="F134" s="9">
        <v>1.9788766163414E-2</v>
      </c>
      <c r="G134" s="9">
        <v>6.3757173100209797E-3</v>
      </c>
      <c r="H134" s="9">
        <v>3.01810079703893</v>
      </c>
    </row>
    <row r="135" spans="1:8" x14ac:dyDescent="0.35">
      <c r="A135" s="9"/>
      <c r="B135" s="9">
        <v>0.86699999999999999</v>
      </c>
      <c r="C135" s="9">
        <v>0</v>
      </c>
      <c r="D135" s="9">
        <v>11.7743606799212</v>
      </c>
      <c r="E135" s="9">
        <v>3.0562458714613001E-2</v>
      </c>
      <c r="F135" s="9">
        <v>1.6242812419997699E-2</v>
      </c>
      <c r="G135" s="9">
        <v>3.1555675671509102E-3</v>
      </c>
      <c r="H135" s="9">
        <v>1.17585538879061</v>
      </c>
    </row>
    <row r="136" spans="1:8" x14ac:dyDescent="0.35">
      <c r="A136" s="9"/>
      <c r="B136" s="9">
        <v>0.86599999999999999</v>
      </c>
      <c r="C136" s="9">
        <v>0</v>
      </c>
      <c r="D136" s="9">
        <v>8.3105655841256993</v>
      </c>
      <c r="E136" s="9">
        <v>2.5925763256320299E-2</v>
      </c>
      <c r="F136" s="9">
        <v>1.26654819064554E-2</v>
      </c>
      <c r="G136" s="9">
        <v>0</v>
      </c>
      <c r="H136" s="9">
        <v>0</v>
      </c>
    </row>
    <row r="137" spans="1:8" x14ac:dyDescent="0.35">
      <c r="A137" s="9"/>
      <c r="B137" s="9">
        <v>0.86499999999999999</v>
      </c>
      <c r="C137" s="9">
        <v>0</v>
      </c>
      <c r="D137" s="9">
        <v>4.8041300819373598</v>
      </c>
      <c r="E137" s="9">
        <v>2.1219789923548098E-2</v>
      </c>
      <c r="F137" s="9">
        <v>9.0563786320467903E-3</v>
      </c>
      <c r="G137" s="9">
        <v>0</v>
      </c>
      <c r="H137" s="9">
        <v>0</v>
      </c>
    </row>
    <row r="138" spans="1:8" x14ac:dyDescent="0.35">
      <c r="A138" s="9"/>
      <c r="B138" s="9">
        <v>0.86399999999999999</v>
      </c>
      <c r="C138" s="9">
        <v>0</v>
      </c>
      <c r="D138" s="9">
        <v>1.25429447714491</v>
      </c>
      <c r="E138" s="9">
        <v>1.6443304642033901E-2</v>
      </c>
      <c r="F138" s="9">
        <v>5.4151187926403197E-3</v>
      </c>
      <c r="G138" s="9">
        <v>0</v>
      </c>
      <c r="H138" s="9">
        <v>0</v>
      </c>
    </row>
    <row r="139" spans="1:8" x14ac:dyDescent="0.35">
      <c r="A139" s="9"/>
      <c r="B139" s="9">
        <v>0.86299999999999999</v>
      </c>
      <c r="C139" s="9">
        <v>0</v>
      </c>
      <c r="D139" s="9">
        <v>0</v>
      </c>
      <c r="E139" s="9">
        <v>1.1595145335840501E-2</v>
      </c>
      <c r="F139" s="9">
        <v>1.7413323524533299E-3</v>
      </c>
      <c r="G139" s="9">
        <v>0</v>
      </c>
      <c r="H139" s="9">
        <v>0</v>
      </c>
    </row>
    <row r="140" spans="1:8" x14ac:dyDescent="0.35">
      <c r="A140" s="9"/>
      <c r="B140" s="9">
        <v>0.86199999999999999</v>
      </c>
      <c r="C140" s="9">
        <v>0</v>
      </c>
      <c r="D140" s="9">
        <v>0</v>
      </c>
      <c r="E140" s="9">
        <v>6.67421836324657E-3</v>
      </c>
      <c r="F140" s="9">
        <v>0</v>
      </c>
      <c r="G140" s="9">
        <v>0</v>
      </c>
      <c r="H140" s="9">
        <v>0</v>
      </c>
    </row>
    <row r="141" spans="1:8" x14ac:dyDescent="0.35">
      <c r="A141" s="9"/>
      <c r="B141" s="9">
        <v>0.86099999999999999</v>
      </c>
      <c r="C141" s="9">
        <v>0</v>
      </c>
      <c r="D141" s="9">
        <v>0</v>
      </c>
      <c r="E141" s="9">
        <v>1.67949484509432E-3</v>
      </c>
      <c r="F141" s="9">
        <v>0</v>
      </c>
      <c r="G141" s="9">
        <v>0</v>
      </c>
      <c r="H141" s="9">
        <v>0</v>
      </c>
    </row>
    <row r="142" spans="1:8" x14ac:dyDescent="0.35">
      <c r="A142" s="9">
        <v>0.86</v>
      </c>
      <c r="B142" s="9">
        <v>0.86</v>
      </c>
      <c r="C142" s="9">
        <v>0</v>
      </c>
      <c r="D142" s="9">
        <v>0</v>
      </c>
      <c r="E142" s="9">
        <v>0</v>
      </c>
      <c r="F142" s="9">
        <v>0</v>
      </c>
      <c r="G142" s="9">
        <v>0</v>
      </c>
      <c r="H142" s="9">
        <v>0</v>
      </c>
    </row>
    <row r="143" spans="1:8" x14ac:dyDescent="0.35">
      <c r="A143" s="9"/>
      <c r="B143" s="9">
        <v>0.85899999999999999</v>
      </c>
      <c r="C143" s="9">
        <v>0</v>
      </c>
      <c r="D143" s="9">
        <v>0</v>
      </c>
      <c r="E143" s="9">
        <v>0</v>
      </c>
      <c r="F143" s="9">
        <v>0</v>
      </c>
      <c r="G143" s="9">
        <v>0</v>
      </c>
      <c r="H143" s="9">
        <v>0</v>
      </c>
    </row>
    <row r="144" spans="1:8" x14ac:dyDescent="0.35">
      <c r="A144" s="9"/>
      <c r="B144" s="9">
        <v>0.85799999999999998</v>
      </c>
      <c r="C144" s="9">
        <v>0</v>
      </c>
      <c r="D144" s="9">
        <v>0</v>
      </c>
      <c r="E144" s="9">
        <v>0</v>
      </c>
      <c r="F144" s="9">
        <v>0</v>
      </c>
      <c r="G144" s="9">
        <v>0</v>
      </c>
      <c r="H144" s="9">
        <v>0</v>
      </c>
    </row>
    <row r="145" spans="1:8" x14ac:dyDescent="0.35">
      <c r="A145" s="9"/>
      <c r="B145" s="9">
        <v>0.85699999999999998</v>
      </c>
      <c r="C145" s="9">
        <v>0</v>
      </c>
      <c r="D145" s="9">
        <v>0</v>
      </c>
      <c r="E145" s="9">
        <v>0</v>
      </c>
      <c r="F145" s="9">
        <v>0</v>
      </c>
      <c r="G145" s="9">
        <v>0</v>
      </c>
      <c r="H145" s="9">
        <v>0</v>
      </c>
    </row>
    <row r="146" spans="1:8" x14ac:dyDescent="0.35">
      <c r="A146" s="9"/>
      <c r="B146" s="9">
        <v>0.85599999999999998</v>
      </c>
      <c r="C146" s="9">
        <v>0</v>
      </c>
      <c r="D146" s="9">
        <v>0</v>
      </c>
      <c r="E146" s="9">
        <v>0</v>
      </c>
      <c r="F146" s="9">
        <v>0</v>
      </c>
      <c r="G146" s="9">
        <v>0</v>
      </c>
      <c r="H146" s="9">
        <v>0</v>
      </c>
    </row>
    <row r="147" spans="1:8" x14ac:dyDescent="0.35">
      <c r="A147" s="9"/>
      <c r="B147" s="9">
        <v>0.85499999999999998</v>
      </c>
      <c r="C147" s="9">
        <v>0</v>
      </c>
      <c r="D147" s="9">
        <v>0</v>
      </c>
      <c r="E147" s="9">
        <v>0</v>
      </c>
      <c r="F147" s="9">
        <v>0</v>
      </c>
      <c r="G147" s="9">
        <v>0</v>
      </c>
      <c r="H147" s="9">
        <v>0</v>
      </c>
    </row>
    <row r="148" spans="1:8" x14ac:dyDescent="0.35">
      <c r="A148" s="9"/>
      <c r="B148" s="9">
        <v>0.85399999999999998</v>
      </c>
      <c r="C148" s="9">
        <v>0</v>
      </c>
      <c r="D148" s="9">
        <v>0</v>
      </c>
      <c r="E148" s="9">
        <v>0</v>
      </c>
      <c r="F148" s="9">
        <v>0</v>
      </c>
      <c r="G148" s="9">
        <v>0</v>
      </c>
      <c r="H148" s="9">
        <v>0</v>
      </c>
    </row>
    <row r="149" spans="1:8" x14ac:dyDescent="0.35">
      <c r="A149" s="9"/>
      <c r="B149" s="9">
        <v>0.85299999999999998</v>
      </c>
      <c r="C149" s="9">
        <v>0</v>
      </c>
      <c r="D149" s="9">
        <v>0</v>
      </c>
      <c r="E149" s="9">
        <v>0</v>
      </c>
      <c r="F149" s="9">
        <v>0</v>
      </c>
      <c r="G149" s="9">
        <v>0</v>
      </c>
      <c r="H149" s="9">
        <v>0</v>
      </c>
    </row>
    <row r="150" spans="1:8" x14ac:dyDescent="0.35">
      <c r="A150" s="9"/>
      <c r="B150" s="9">
        <v>0.85199999999999998</v>
      </c>
      <c r="C150" s="9">
        <v>0</v>
      </c>
      <c r="D150" s="9">
        <v>0</v>
      </c>
      <c r="E150" s="9">
        <v>0</v>
      </c>
      <c r="F150" s="9">
        <v>0</v>
      </c>
      <c r="G150" s="9">
        <v>0</v>
      </c>
      <c r="H150" s="9">
        <v>0</v>
      </c>
    </row>
    <row r="151" spans="1:8" x14ac:dyDescent="0.35">
      <c r="A151" s="9"/>
      <c r="B151" s="9">
        <v>0.85099999999999998</v>
      </c>
      <c r="C151" s="9">
        <v>0</v>
      </c>
      <c r="D151" s="9">
        <v>0</v>
      </c>
      <c r="E151" s="9">
        <v>0</v>
      </c>
      <c r="F151" s="9">
        <v>0</v>
      </c>
      <c r="G151" s="9">
        <v>0</v>
      </c>
      <c r="H151" s="9">
        <v>0</v>
      </c>
    </row>
    <row r="152" spans="1:8" x14ac:dyDescent="0.35">
      <c r="A152" s="9">
        <v>0.85</v>
      </c>
      <c r="B152" s="9">
        <v>0.85</v>
      </c>
      <c r="C152" s="9">
        <v>0</v>
      </c>
      <c r="D152" s="9">
        <v>0</v>
      </c>
      <c r="E152" s="9">
        <v>0</v>
      </c>
      <c r="F152" s="9">
        <v>0</v>
      </c>
      <c r="G152" s="9">
        <v>0</v>
      </c>
      <c r="H152" s="9">
        <v>0</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dimension ref="A1:AH152"/>
  <sheetViews>
    <sheetView topLeftCell="T43" workbookViewId="0">
      <selection activeCell="AD2" sqref="AD2:AH90"/>
    </sheetView>
  </sheetViews>
  <sheetFormatPr defaultRowHeight="14.5" x14ac:dyDescent="0.35"/>
  <cols>
    <col min="1" max="1" width="27.1796875" bestFit="1" customWidth="1"/>
    <col min="2" max="2" width="15" bestFit="1" customWidth="1"/>
    <col min="3" max="3" width="12" bestFit="1" customWidth="1"/>
    <col min="4" max="4" width="19" bestFit="1" customWidth="1"/>
    <col min="5" max="5" width="12" bestFit="1" customWidth="1"/>
    <col min="6" max="7" width="14.7265625" bestFit="1" customWidth="1"/>
    <col min="10" max="10" width="29" bestFit="1" customWidth="1"/>
    <col min="11" max="11" width="15" bestFit="1" customWidth="1"/>
    <col min="12" max="12" width="12" bestFit="1" customWidth="1"/>
    <col min="13" max="13" width="19" bestFit="1" customWidth="1"/>
    <col min="14" max="14" width="12" bestFit="1" customWidth="1"/>
    <col min="15" max="16" width="14.7265625" bestFit="1" customWidth="1"/>
    <col min="19" max="19" width="24.453125" bestFit="1" customWidth="1"/>
    <col min="20" max="20" width="15" bestFit="1" customWidth="1"/>
    <col min="21" max="21" width="12" bestFit="1" customWidth="1"/>
    <col min="22" max="22" width="19" bestFit="1" customWidth="1"/>
    <col min="23" max="23" width="12" bestFit="1" customWidth="1"/>
    <col min="24" max="25" width="14.7265625" bestFit="1" customWidth="1"/>
    <col min="28" max="28" width="22.54296875" bestFit="1" customWidth="1"/>
  </cols>
  <sheetData>
    <row r="1" spans="1:34" x14ac:dyDescent="0.35">
      <c r="A1" t="s">
        <v>37</v>
      </c>
      <c r="B1" t="s">
        <v>6</v>
      </c>
      <c r="C1" t="s">
        <v>13</v>
      </c>
      <c r="D1" t="s">
        <v>14</v>
      </c>
      <c r="E1" t="s">
        <v>15</v>
      </c>
      <c r="F1" t="s">
        <v>16</v>
      </c>
      <c r="G1" t="s">
        <v>17</v>
      </c>
      <c r="J1" t="s">
        <v>34</v>
      </c>
      <c r="K1" t="s">
        <v>6</v>
      </c>
      <c r="L1" t="s">
        <v>13</v>
      </c>
      <c r="M1" t="s">
        <v>14</v>
      </c>
      <c r="N1" t="s">
        <v>15</v>
      </c>
      <c r="O1" t="s">
        <v>16</v>
      </c>
      <c r="P1" t="s">
        <v>17</v>
      </c>
      <c r="S1" t="s">
        <v>35</v>
      </c>
      <c r="T1" t="s">
        <v>6</v>
      </c>
      <c r="U1" t="s">
        <v>13</v>
      </c>
      <c r="V1" t="s">
        <v>14</v>
      </c>
      <c r="W1" t="s">
        <v>15</v>
      </c>
      <c r="X1" t="s">
        <v>16</v>
      </c>
      <c r="Y1" t="s">
        <v>17</v>
      </c>
      <c r="AB1" t="s">
        <v>36</v>
      </c>
      <c r="AC1" t="s">
        <v>6</v>
      </c>
      <c r="AD1" t="s">
        <v>13</v>
      </c>
      <c r="AE1" t="s">
        <v>14</v>
      </c>
      <c r="AF1" t="s">
        <v>15</v>
      </c>
      <c r="AG1" t="s">
        <v>16</v>
      </c>
      <c r="AH1" t="s">
        <v>17</v>
      </c>
    </row>
    <row r="2" spans="1:34" x14ac:dyDescent="0.35">
      <c r="B2">
        <v>1</v>
      </c>
      <c r="C2">
        <v>369.89109655451</v>
      </c>
      <c r="D2">
        <v>652.219502770703</v>
      </c>
      <c r="E2">
        <v>0.62188582918449797</v>
      </c>
      <c r="F2">
        <v>0.56171079163769799</v>
      </c>
      <c r="G2">
        <v>0.51707953982612298</v>
      </c>
      <c r="K2" s="49">
        <v>1</v>
      </c>
      <c r="L2">
        <v>22726.713989882999</v>
      </c>
      <c r="M2">
        <v>23151.062948322498</v>
      </c>
      <c r="N2">
        <v>0.97409314341138398</v>
      </c>
      <c r="O2">
        <v>0.97205334754447803</v>
      </c>
      <c r="P2">
        <v>0.97018937767565905</v>
      </c>
      <c r="T2">
        <v>1</v>
      </c>
      <c r="U2">
        <v>401.23331085182798</v>
      </c>
      <c r="V2">
        <v>585.50375453792901</v>
      </c>
      <c r="W2">
        <v>0.57597568478697903</v>
      </c>
      <c r="X2">
        <v>0.54506433415556299</v>
      </c>
      <c r="Y2">
        <v>0.50614548388498803</v>
      </c>
      <c r="AC2" s="49">
        <v>1</v>
      </c>
      <c r="AD2">
        <v>552.49990863428695</v>
      </c>
      <c r="AE2">
        <v>848.53107316460398</v>
      </c>
      <c r="AF2">
        <v>0.74600081545673103</v>
      </c>
      <c r="AG2">
        <v>0.711866581829668</v>
      </c>
      <c r="AH2">
        <v>0.67721255717456297</v>
      </c>
    </row>
    <row r="3" spans="1:34" x14ac:dyDescent="0.35">
      <c r="B3">
        <v>0.999</v>
      </c>
      <c r="C3">
        <v>364.28382022874598</v>
      </c>
      <c r="D3">
        <v>647.69417900991402</v>
      </c>
      <c r="E3">
        <v>0.61965091935502303</v>
      </c>
      <c r="F3">
        <v>0.55967837809705701</v>
      </c>
      <c r="G3">
        <v>0.51406843363374199</v>
      </c>
      <c r="K3" s="49">
        <v>0.995</v>
      </c>
      <c r="L3">
        <v>19403.687125107401</v>
      </c>
      <c r="M3">
        <v>19809.341641143099</v>
      </c>
      <c r="N3">
        <v>0.94889765125137404</v>
      </c>
      <c r="O3">
        <v>0.94500865203858297</v>
      </c>
      <c r="P3">
        <v>0.94136186579221004</v>
      </c>
      <c r="T3">
        <v>0.995</v>
      </c>
      <c r="U3">
        <v>391.33545048653701</v>
      </c>
      <c r="V3">
        <v>571.76913286794695</v>
      </c>
      <c r="W3">
        <v>0.56665546161985703</v>
      </c>
      <c r="X3">
        <v>0.53531651788118495</v>
      </c>
      <c r="Y3">
        <v>0.496152459433923</v>
      </c>
      <c r="AC3" s="49">
        <v>0.995</v>
      </c>
      <c r="AD3">
        <v>540.48148880359497</v>
      </c>
      <c r="AE3">
        <v>835.20110356644</v>
      </c>
      <c r="AF3">
        <v>0.73787608765124901</v>
      </c>
      <c r="AG3">
        <v>0.70312248368969898</v>
      </c>
      <c r="AH3">
        <v>0.66777578698838203</v>
      </c>
    </row>
    <row r="4" spans="1:34" x14ac:dyDescent="0.35">
      <c r="B4">
        <v>0.998</v>
      </c>
      <c r="C4">
        <v>358.70055124484202</v>
      </c>
      <c r="D4">
        <v>643.09442567397298</v>
      </c>
      <c r="E4">
        <v>0.61731805956350905</v>
      </c>
      <c r="F4">
        <v>0.557528380520527</v>
      </c>
      <c r="G4">
        <v>0.51096106009491604</v>
      </c>
      <c r="K4" s="49">
        <v>0.99</v>
      </c>
      <c r="L4">
        <v>16080.660260331801</v>
      </c>
      <c r="M4">
        <v>16467.620333963601</v>
      </c>
      <c r="N4">
        <v>0.92370215909136399</v>
      </c>
      <c r="O4">
        <v>0.91796395653268703</v>
      </c>
      <c r="P4">
        <v>0.91253435390876003</v>
      </c>
      <c r="T4">
        <v>0.99</v>
      </c>
      <c r="U4">
        <v>381.43759012124599</v>
      </c>
      <c r="V4">
        <v>558.034511197965</v>
      </c>
      <c r="W4">
        <v>0.55733523845273503</v>
      </c>
      <c r="X4">
        <v>0.52556870160680802</v>
      </c>
      <c r="Y4">
        <v>0.48615943498285902</v>
      </c>
      <c r="AC4" s="49">
        <v>0.99</v>
      </c>
      <c r="AD4">
        <v>523.74103817945604</v>
      </c>
      <c r="AE4">
        <v>816.557549376157</v>
      </c>
      <c r="AF4">
        <v>0.72567554164295101</v>
      </c>
      <c r="AG4">
        <v>0.69010884134954997</v>
      </c>
      <c r="AH4">
        <v>0.65408256642562601</v>
      </c>
    </row>
    <row r="5" spans="1:34" x14ac:dyDescent="0.35">
      <c r="B5">
        <v>0.997</v>
      </c>
      <c r="C5">
        <v>353.14111514686499</v>
      </c>
      <c r="D5">
        <v>638.41883782238597</v>
      </c>
      <c r="E5">
        <v>0.61488639023570602</v>
      </c>
      <c r="F5">
        <v>0.55526004086954395</v>
      </c>
      <c r="G5">
        <v>0.50775715500512997</v>
      </c>
      <c r="K5" s="49">
        <v>0.98499999999999999</v>
      </c>
      <c r="L5">
        <v>12757.6333955562</v>
      </c>
      <c r="M5">
        <v>13125.8990267841</v>
      </c>
      <c r="N5">
        <v>0.89850666693135395</v>
      </c>
      <c r="O5">
        <v>0.89091926102679198</v>
      </c>
      <c r="P5">
        <v>0.88370684202531002</v>
      </c>
      <c r="T5">
        <v>0.98499999999999999</v>
      </c>
      <c r="U5">
        <v>371.53972975595599</v>
      </c>
      <c r="V5">
        <v>544.29988952798305</v>
      </c>
      <c r="W5">
        <v>0.54801501528561303</v>
      </c>
      <c r="X5">
        <v>0.51582088533243098</v>
      </c>
      <c r="Y5">
        <v>0.47616641053179398</v>
      </c>
      <c r="AC5" s="49">
        <v>0.98499999999999999</v>
      </c>
      <c r="AD5">
        <v>507.000587555317</v>
      </c>
      <c r="AE5">
        <v>797.91399518587298</v>
      </c>
      <c r="AF5">
        <v>0.713474995634654</v>
      </c>
      <c r="AG5">
        <v>0.67709519900940096</v>
      </c>
      <c r="AH5">
        <v>0.64038934586287</v>
      </c>
    </row>
    <row r="6" spans="1:34" x14ac:dyDescent="0.35">
      <c r="B6">
        <v>0.996</v>
      </c>
      <c r="C6">
        <v>347.60534628708501</v>
      </c>
      <c r="D6">
        <v>633.66594986722203</v>
      </c>
      <c r="E6">
        <v>0.61235501109076895</v>
      </c>
      <c r="F6">
        <v>0.55287257173629401</v>
      </c>
      <c r="G6">
        <v>0.50445645856535903</v>
      </c>
      <c r="J6">
        <v>0.98</v>
      </c>
      <c r="K6" s="49">
        <v>0.98</v>
      </c>
      <c r="L6">
        <v>9434.6065307805602</v>
      </c>
      <c r="M6">
        <v>9784.1777196046805</v>
      </c>
      <c r="N6">
        <v>0.87331117477134401</v>
      </c>
      <c r="O6">
        <v>0.86387456552089603</v>
      </c>
      <c r="P6">
        <v>0.85487933014186102</v>
      </c>
      <c r="S6">
        <v>0.98</v>
      </c>
      <c r="T6">
        <v>0.98</v>
      </c>
      <c r="U6">
        <v>361.64186939066502</v>
      </c>
      <c r="V6">
        <v>530.56526785800099</v>
      </c>
      <c r="W6">
        <v>0.53869479211849103</v>
      </c>
      <c r="X6">
        <v>0.50607306905805305</v>
      </c>
      <c r="Y6">
        <v>0.466173386080729</v>
      </c>
      <c r="AB6">
        <v>0.98</v>
      </c>
      <c r="AC6" s="49">
        <v>0.98</v>
      </c>
      <c r="AD6">
        <v>490.26013693117898</v>
      </c>
      <c r="AE6">
        <v>779.27044099558998</v>
      </c>
      <c r="AF6">
        <v>0.70127444962635599</v>
      </c>
      <c r="AG6">
        <v>0.66408155666925195</v>
      </c>
      <c r="AH6">
        <v>0.62669612530011498</v>
      </c>
    </row>
    <row r="7" spans="1:34" x14ac:dyDescent="0.35">
      <c r="B7">
        <v>0.995</v>
      </c>
      <c r="C7">
        <v>342.09309040299797</v>
      </c>
      <c r="D7">
        <v>628.83423438222098</v>
      </c>
      <c r="E7">
        <v>0.60972297972169898</v>
      </c>
      <c r="F7">
        <v>0.55036515646810202</v>
      </c>
      <c r="G7">
        <v>0.50105871784188805</v>
      </c>
      <c r="K7" s="49">
        <v>0.97499999999999998</v>
      </c>
      <c r="L7">
        <v>6111.57966600494</v>
      </c>
      <c r="M7">
        <v>6442.4564124252202</v>
      </c>
      <c r="N7">
        <v>0.84811568261133397</v>
      </c>
      <c r="O7">
        <v>0.83682987001500098</v>
      </c>
      <c r="P7">
        <v>0.82605181825841101</v>
      </c>
      <c r="T7">
        <v>0.97499999999999998</v>
      </c>
      <c r="U7">
        <v>351.744009025374</v>
      </c>
      <c r="V7">
        <v>516.83064618801905</v>
      </c>
      <c r="W7">
        <v>0.52937456895136903</v>
      </c>
      <c r="X7">
        <v>0.49632525278367601</v>
      </c>
      <c r="Y7">
        <v>0.45618036162966502</v>
      </c>
      <c r="AC7" s="49">
        <v>0.97499999999999998</v>
      </c>
      <c r="AD7">
        <v>473.51968630703999</v>
      </c>
      <c r="AE7">
        <v>760.62688680530596</v>
      </c>
      <c r="AF7">
        <v>0.68907390361805798</v>
      </c>
      <c r="AG7">
        <v>0.65106791432910205</v>
      </c>
      <c r="AH7">
        <v>0.61300290473735897</v>
      </c>
    </row>
    <row r="8" spans="1:34" x14ac:dyDescent="0.35">
      <c r="B8">
        <v>0.99399999999999999</v>
      </c>
      <c r="C8">
        <v>336.60420764751802</v>
      </c>
      <c r="D8">
        <v>623.92210134039999</v>
      </c>
      <c r="E8">
        <v>0.606989310316013</v>
      </c>
      <c r="F8">
        <v>0.54773694967982001</v>
      </c>
      <c r="G8">
        <v>0.497563689711993</v>
      </c>
      <c r="K8" s="49">
        <v>0.97</v>
      </c>
      <c r="L8">
        <v>3888.3797047099301</v>
      </c>
      <c r="M8">
        <v>4205.7613591756999</v>
      </c>
      <c r="N8">
        <v>0.82202007509130703</v>
      </c>
      <c r="O8">
        <v>0.80884328963540297</v>
      </c>
      <c r="P8">
        <v>0.79611951346604404</v>
      </c>
      <c r="T8">
        <v>0.97</v>
      </c>
      <c r="U8">
        <v>341.846148660084</v>
      </c>
      <c r="V8">
        <v>503.09602451803698</v>
      </c>
      <c r="W8">
        <v>0.52005434578424703</v>
      </c>
      <c r="X8">
        <v>0.48657743650929902</v>
      </c>
      <c r="Y8">
        <v>0.44618733717859999</v>
      </c>
      <c r="AC8" s="49">
        <v>0.97</v>
      </c>
      <c r="AD8">
        <v>456.779235682901</v>
      </c>
      <c r="AE8">
        <v>741.98333261502205</v>
      </c>
      <c r="AF8">
        <v>0.67687335760975997</v>
      </c>
      <c r="AG8">
        <v>0.63805427198895304</v>
      </c>
      <c r="AH8">
        <v>0.59930968417460295</v>
      </c>
    </row>
    <row r="9" spans="1:34" x14ac:dyDescent="0.35">
      <c r="B9">
        <v>0.99299999999999999</v>
      </c>
      <c r="C9">
        <v>331.138576146932</v>
      </c>
      <c r="D9">
        <v>618.92789791851396</v>
      </c>
      <c r="E9">
        <v>0.60415297257873102</v>
      </c>
      <c r="F9">
        <v>0.54498707826152504</v>
      </c>
      <c r="G9">
        <v>0.49397114438260598</v>
      </c>
      <c r="K9" s="49">
        <v>0.96499999999999997</v>
      </c>
      <c r="L9">
        <v>3391.2184706655498</v>
      </c>
      <c r="M9">
        <v>3703.26475376898</v>
      </c>
      <c r="N9">
        <v>0.79451185076270303</v>
      </c>
      <c r="O9">
        <v>0.77937854049718003</v>
      </c>
      <c r="P9">
        <v>0.76445337643121403</v>
      </c>
      <c r="T9">
        <v>0.96499999999999997</v>
      </c>
      <c r="U9">
        <v>333.24742899504798</v>
      </c>
      <c r="V9">
        <v>491.09215104518103</v>
      </c>
      <c r="W9">
        <v>0.51124019814960298</v>
      </c>
      <c r="X9">
        <v>0.477567243451954</v>
      </c>
      <c r="Y9">
        <v>0.43732775701300902</v>
      </c>
      <c r="AC9" s="49">
        <v>0.96499999999999997</v>
      </c>
      <c r="AD9">
        <v>440.03878505876298</v>
      </c>
      <c r="AE9">
        <v>723.33977842473905</v>
      </c>
      <c r="AF9">
        <v>0.66467281160146297</v>
      </c>
      <c r="AG9">
        <v>0.62504062964880402</v>
      </c>
      <c r="AH9">
        <v>0.58561646361184705</v>
      </c>
    </row>
    <row r="10" spans="1:34" x14ac:dyDescent="0.35">
      <c r="B10">
        <v>0.99199999999999999</v>
      </c>
      <c r="C10">
        <v>325.69609617292201</v>
      </c>
      <c r="D10">
        <v>613.84990904027597</v>
      </c>
      <c r="E10">
        <v>0.60121289093594499</v>
      </c>
      <c r="F10">
        <v>0.54211464301396395</v>
      </c>
      <c r="G10">
        <v>0.49028086958435002</v>
      </c>
      <c r="J10">
        <v>0.96</v>
      </c>
      <c r="K10" s="49">
        <v>0.96</v>
      </c>
      <c r="L10">
        <v>2894.05723662118</v>
      </c>
      <c r="M10">
        <v>3200.76814836226</v>
      </c>
      <c r="N10">
        <v>0.76700362643409803</v>
      </c>
      <c r="O10">
        <v>0.74991379135895697</v>
      </c>
      <c r="P10">
        <v>0.73278723939638402</v>
      </c>
      <c r="S10">
        <v>0.96</v>
      </c>
      <c r="T10">
        <v>0.96</v>
      </c>
      <c r="U10">
        <v>327.34397491512999</v>
      </c>
      <c r="V10">
        <v>482.67897875758302</v>
      </c>
      <c r="W10">
        <v>0.50347598141612304</v>
      </c>
      <c r="X10">
        <v>0.47008736229328302</v>
      </c>
      <c r="Y10">
        <v>0.43081967994072201</v>
      </c>
      <c r="AB10">
        <v>0.96</v>
      </c>
      <c r="AC10" s="49">
        <v>0.96</v>
      </c>
      <c r="AD10">
        <v>423.298334434624</v>
      </c>
      <c r="AE10">
        <v>704.69622423445503</v>
      </c>
      <c r="AF10">
        <v>0.65247226559316496</v>
      </c>
      <c r="AG10">
        <v>0.61202698730865501</v>
      </c>
      <c r="AH10">
        <v>0.57192324304909203</v>
      </c>
    </row>
    <row r="11" spans="1:34" x14ac:dyDescent="0.35">
      <c r="B11">
        <v>0.99099999999999999</v>
      </c>
      <c r="C11">
        <v>320.27669502836699</v>
      </c>
      <c r="D11">
        <v>608.68635887097196</v>
      </c>
      <c r="E11">
        <v>0.59816794411679797</v>
      </c>
      <c r="F11">
        <v>0.53911872107463299</v>
      </c>
      <c r="G11">
        <v>0.48649267556107201</v>
      </c>
      <c r="K11" s="49">
        <v>0.95499999999999996</v>
      </c>
      <c r="L11">
        <v>2396.8960025768001</v>
      </c>
      <c r="M11">
        <v>2698.2715429555301</v>
      </c>
      <c r="N11">
        <v>0.73949540210549403</v>
      </c>
      <c r="O11">
        <v>0.72044904222073303</v>
      </c>
      <c r="P11">
        <v>0.70112110236155401</v>
      </c>
      <c r="T11">
        <v>0.95499999999999996</v>
      </c>
      <c r="U11">
        <v>321.44052083521302</v>
      </c>
      <c r="V11">
        <v>474.265806469984</v>
      </c>
      <c r="W11">
        <v>0.495711764682643</v>
      </c>
      <c r="X11">
        <v>0.46260748113461297</v>
      </c>
      <c r="Y11">
        <v>0.424311602868434</v>
      </c>
      <c r="AC11" s="49">
        <v>0.95499999999999996</v>
      </c>
      <c r="AD11">
        <v>406.55788381048501</v>
      </c>
      <c r="AE11">
        <v>686.05267004417101</v>
      </c>
      <c r="AF11">
        <v>0.64027171958486695</v>
      </c>
      <c r="AG11">
        <v>0.599013344968505</v>
      </c>
      <c r="AH11">
        <v>0.55823002248633602</v>
      </c>
    </row>
    <row r="12" spans="1:34" x14ac:dyDescent="0.35">
      <c r="A12">
        <v>0.99</v>
      </c>
      <c r="B12">
        <v>0.99</v>
      </c>
      <c r="C12">
        <v>314.88033276150497</v>
      </c>
      <c r="D12">
        <v>603.43541352576096</v>
      </c>
      <c r="E12">
        <v>0.59501696523580705</v>
      </c>
      <c r="F12">
        <v>0.53599836933453704</v>
      </c>
      <c r="G12">
        <v>0.48260640099560198</v>
      </c>
      <c r="K12" s="49">
        <v>0.95</v>
      </c>
      <c r="L12">
        <v>1899.73476853242</v>
      </c>
      <c r="M12">
        <v>2195.7749375488102</v>
      </c>
      <c r="N12">
        <v>0.71198717777688902</v>
      </c>
      <c r="O12">
        <v>0.69098429308250997</v>
      </c>
      <c r="P12">
        <v>0.66945496532672399</v>
      </c>
      <c r="T12">
        <v>0.95</v>
      </c>
      <c r="U12">
        <v>315.537066755296</v>
      </c>
      <c r="V12">
        <v>465.852634182386</v>
      </c>
      <c r="W12">
        <v>0.48794754794916301</v>
      </c>
      <c r="X12">
        <v>0.45512759997594199</v>
      </c>
      <c r="Y12">
        <v>0.41780352579614599</v>
      </c>
      <c r="AC12" s="49">
        <v>0.95</v>
      </c>
      <c r="AD12">
        <v>389.81743318634699</v>
      </c>
      <c r="AE12">
        <v>667.40911585388801</v>
      </c>
      <c r="AF12">
        <v>0.62807117357656905</v>
      </c>
      <c r="AG12">
        <v>0.58599970262835599</v>
      </c>
      <c r="AH12">
        <v>0.54453680192358001</v>
      </c>
    </row>
    <row r="13" spans="1:34" x14ac:dyDescent="0.35">
      <c r="B13">
        <v>0.98899999999999999</v>
      </c>
      <c r="C13">
        <v>309.50700883958501</v>
      </c>
      <c r="D13">
        <v>598.09518531356696</v>
      </c>
      <c r="E13">
        <v>0.59175874252640404</v>
      </c>
      <c r="F13">
        <v>0.53275262909026799</v>
      </c>
      <c r="G13">
        <v>0.47862192003597898</v>
      </c>
      <c r="K13" s="49">
        <v>0.94499999999999995</v>
      </c>
      <c r="L13">
        <v>1402.57353448805</v>
      </c>
      <c r="M13">
        <v>1693.27833214208</v>
      </c>
      <c r="N13">
        <v>0.68447895344828502</v>
      </c>
      <c r="O13">
        <v>0.66151954394428603</v>
      </c>
      <c r="P13">
        <v>0.63778882829189398</v>
      </c>
      <c r="T13">
        <v>0.94499999999999995</v>
      </c>
      <c r="U13">
        <v>309.63361267537903</v>
      </c>
      <c r="V13">
        <v>457.43946189478697</v>
      </c>
      <c r="W13">
        <v>0.48018333121568302</v>
      </c>
      <c r="X13">
        <v>0.447647718817271</v>
      </c>
      <c r="Y13">
        <v>0.41129544872385898</v>
      </c>
      <c r="AC13" s="49">
        <v>0.94499999999999995</v>
      </c>
      <c r="AD13">
        <v>373.076982562208</v>
      </c>
      <c r="AE13">
        <v>648.76556166360399</v>
      </c>
      <c r="AF13">
        <v>0.61587062756827204</v>
      </c>
      <c r="AG13">
        <v>0.57298606028820698</v>
      </c>
      <c r="AH13">
        <v>0.53084358136082499</v>
      </c>
    </row>
    <row r="14" spans="1:34" x14ac:dyDescent="0.35">
      <c r="B14">
        <v>0.98799999999999999</v>
      </c>
      <c r="C14">
        <v>304.15676993099697</v>
      </c>
      <c r="D14">
        <v>592.66373890993498</v>
      </c>
      <c r="E14">
        <v>0.58839202091129605</v>
      </c>
      <c r="F14">
        <v>0.52938053222955395</v>
      </c>
      <c r="G14">
        <v>0.47453915061318103</v>
      </c>
      <c r="J14">
        <v>0.94</v>
      </c>
      <c r="K14" s="49">
        <v>0.94</v>
      </c>
      <c r="L14">
        <v>1039.8753823689999</v>
      </c>
      <c r="M14">
        <v>1323.0581932411801</v>
      </c>
      <c r="N14">
        <v>0.65769167751618596</v>
      </c>
      <c r="O14">
        <v>0.63329952370042497</v>
      </c>
      <c r="P14">
        <v>0.60790541413152299</v>
      </c>
      <c r="S14">
        <v>0.94</v>
      </c>
      <c r="T14">
        <v>0.94</v>
      </c>
      <c r="U14">
        <v>303.73015859546098</v>
      </c>
      <c r="V14">
        <v>449.026289607188</v>
      </c>
      <c r="W14">
        <v>0.47241911448220297</v>
      </c>
      <c r="X14">
        <v>0.44016783765860101</v>
      </c>
      <c r="Y14">
        <v>0.40478737165157103</v>
      </c>
      <c r="AB14">
        <v>0.94</v>
      </c>
      <c r="AC14" s="49">
        <v>0.94</v>
      </c>
      <c r="AD14">
        <v>356.33653193806902</v>
      </c>
      <c r="AE14">
        <v>630.12200747331997</v>
      </c>
      <c r="AF14">
        <v>0.60367008155997404</v>
      </c>
      <c r="AG14">
        <v>0.55997241794805797</v>
      </c>
      <c r="AH14">
        <v>0.51715036079806898</v>
      </c>
    </row>
    <row r="15" spans="1:34" x14ac:dyDescent="0.35">
      <c r="B15">
        <v>0.98699999999999999</v>
      </c>
      <c r="C15">
        <v>298.82971896358998</v>
      </c>
      <c r="D15">
        <v>587.13909993648394</v>
      </c>
      <c r="E15">
        <v>0.58491550463634401</v>
      </c>
      <c r="F15">
        <v>0.525881109311641</v>
      </c>
      <c r="G15">
        <v>0.47035806427129501</v>
      </c>
      <c r="K15" s="49">
        <v>0.93500000000000005</v>
      </c>
      <c r="L15">
        <v>970.20534793458205</v>
      </c>
      <c r="M15">
        <v>1241.1009993745399</v>
      </c>
      <c r="N15">
        <v>0.63247552540894103</v>
      </c>
      <c r="O15">
        <v>0.60779207377490296</v>
      </c>
      <c r="P15">
        <v>0.58190699145562796</v>
      </c>
      <c r="T15">
        <v>0.93500000000000005</v>
      </c>
      <c r="U15">
        <v>297.82670451554401</v>
      </c>
      <c r="V15">
        <v>440.61311731959</v>
      </c>
      <c r="W15">
        <v>0.46465489774872398</v>
      </c>
      <c r="X15">
        <v>0.43268795649993003</v>
      </c>
      <c r="Y15">
        <v>0.39827929457928402</v>
      </c>
      <c r="AC15" s="49">
        <v>0.93500000000000005</v>
      </c>
      <c r="AD15">
        <v>345.23832457883998</v>
      </c>
      <c r="AE15">
        <v>614.92090841190804</v>
      </c>
      <c r="AF15">
        <v>0.59192060648022304</v>
      </c>
      <c r="AG15">
        <v>0.54788873537906702</v>
      </c>
      <c r="AH15">
        <v>0.50494809859146195</v>
      </c>
    </row>
    <row r="16" spans="1:34" x14ac:dyDescent="0.35">
      <c r="B16">
        <v>0.98599999999999999</v>
      </c>
      <c r="C16">
        <v>293.52602564575102</v>
      </c>
      <c r="D16">
        <v>581.51926652274199</v>
      </c>
      <c r="E16">
        <v>0.58132786124241997</v>
      </c>
      <c r="F16">
        <v>0.52225339997778197</v>
      </c>
      <c r="G16">
        <v>0.46607869776391497</v>
      </c>
      <c r="K16" s="49">
        <v>0.93</v>
      </c>
      <c r="L16">
        <v>900.53531350016397</v>
      </c>
      <c r="M16">
        <v>1159.1438055079</v>
      </c>
      <c r="N16">
        <v>0.60725937330169399</v>
      </c>
      <c r="O16">
        <v>0.58228462384937796</v>
      </c>
      <c r="P16">
        <v>0.55590856877973105</v>
      </c>
      <c r="T16">
        <v>0.93</v>
      </c>
      <c r="U16">
        <v>291.92325043562698</v>
      </c>
      <c r="V16">
        <v>432.19994503199098</v>
      </c>
      <c r="W16">
        <v>0.45689068101524399</v>
      </c>
      <c r="X16">
        <v>0.42520807534125898</v>
      </c>
      <c r="Y16">
        <v>0.39177121750699601</v>
      </c>
      <c r="AC16" s="49">
        <v>0.93</v>
      </c>
      <c r="AD16">
        <v>334.17714607382698</v>
      </c>
      <c r="AE16">
        <v>599.74240145848</v>
      </c>
      <c r="AF16">
        <v>0.58017409168397505</v>
      </c>
      <c r="AG16">
        <v>0.53581115594019202</v>
      </c>
      <c r="AH16">
        <v>0.49275562123053002</v>
      </c>
    </row>
    <row r="17" spans="1:34" x14ac:dyDescent="0.35">
      <c r="B17">
        <v>0.98499999999999999</v>
      </c>
      <c r="C17">
        <v>288.24593862965799</v>
      </c>
      <c r="D17">
        <v>575.80222443164996</v>
      </c>
      <c r="E17">
        <v>0.57762772714181998</v>
      </c>
      <c r="F17">
        <v>0.51849646616421596</v>
      </c>
      <c r="G17">
        <v>0.46170116668300398</v>
      </c>
      <c r="K17" s="49">
        <v>0.92500000000000004</v>
      </c>
      <c r="L17">
        <v>830.86527906574804</v>
      </c>
      <c r="M17">
        <v>1077.18661164126</v>
      </c>
      <c r="N17">
        <v>0.58204322119444896</v>
      </c>
      <c r="O17">
        <v>0.55677717392385595</v>
      </c>
      <c r="P17">
        <v>0.52991014610383602</v>
      </c>
      <c r="T17">
        <v>0.92500000000000004</v>
      </c>
      <c r="U17">
        <v>282.916619371705</v>
      </c>
      <c r="V17">
        <v>419.88527106690901</v>
      </c>
      <c r="W17">
        <v>0.445985854291156</v>
      </c>
      <c r="X17">
        <v>0.41469286391486898</v>
      </c>
      <c r="Y17">
        <v>0.38183827755557198</v>
      </c>
      <c r="AC17" s="49">
        <v>0.92500000000000004</v>
      </c>
      <c r="AD17">
        <v>323.11596756881403</v>
      </c>
      <c r="AE17">
        <v>584.56389450505196</v>
      </c>
      <c r="AF17">
        <v>0.56842757688772605</v>
      </c>
      <c r="AG17">
        <v>0.52373357650131802</v>
      </c>
      <c r="AH17">
        <v>0.48056314386959897</v>
      </c>
    </row>
    <row r="18" spans="1:34" x14ac:dyDescent="0.35">
      <c r="B18">
        <v>0.98399999999999999</v>
      </c>
      <c r="C18">
        <v>282.98971464609599</v>
      </c>
      <c r="D18">
        <v>569.98559552541894</v>
      </c>
      <c r="E18">
        <v>0.573813497327894</v>
      </c>
      <c r="F18">
        <v>0.51460924460452295</v>
      </c>
      <c r="G18">
        <v>0.457225604667096</v>
      </c>
      <c r="J18">
        <v>0.92</v>
      </c>
      <c r="K18" s="49">
        <v>0.92</v>
      </c>
      <c r="L18">
        <v>761.195244631332</v>
      </c>
      <c r="M18">
        <v>995.22941777461403</v>
      </c>
      <c r="N18">
        <v>0.55682706908720303</v>
      </c>
      <c r="O18">
        <v>0.53126972399833206</v>
      </c>
      <c r="P18">
        <v>0.50391172342793999</v>
      </c>
      <c r="S18">
        <v>0.92</v>
      </c>
      <c r="T18">
        <v>0.92</v>
      </c>
      <c r="U18">
        <v>271.77343649264299</v>
      </c>
      <c r="V18">
        <v>404.88439501481702</v>
      </c>
      <c r="W18">
        <v>0.43291870295243601</v>
      </c>
      <c r="X18">
        <v>0.40208781345368599</v>
      </c>
      <c r="Y18">
        <v>0.36954730355106602</v>
      </c>
      <c r="AB18">
        <v>0.92</v>
      </c>
      <c r="AC18" s="49">
        <v>0.92</v>
      </c>
      <c r="AD18">
        <v>312.05478906380102</v>
      </c>
      <c r="AE18">
        <v>569.38538755162404</v>
      </c>
      <c r="AF18">
        <v>0.55668106209147805</v>
      </c>
      <c r="AG18">
        <v>0.51165599706244302</v>
      </c>
      <c r="AH18">
        <v>0.46837066650866799</v>
      </c>
    </row>
    <row r="19" spans="1:34" x14ac:dyDescent="0.35">
      <c r="B19">
        <v>0.98299999999999998</v>
      </c>
      <c r="C19">
        <v>277.757487768803</v>
      </c>
      <c r="D19">
        <v>564.06599350233603</v>
      </c>
      <c r="E19">
        <v>0.56988293747368102</v>
      </c>
      <c r="F19">
        <v>0.51059028002630502</v>
      </c>
      <c r="G19">
        <v>0.45265205503719702</v>
      </c>
      <c r="K19" s="49">
        <v>0.91500000000000004</v>
      </c>
      <c r="L19">
        <v>691.52521019691505</v>
      </c>
      <c r="M19">
        <v>913.27222390797101</v>
      </c>
      <c r="N19">
        <v>0.53161091697995699</v>
      </c>
      <c r="O19">
        <v>0.50576227407280805</v>
      </c>
      <c r="P19">
        <v>0.47791330075204402</v>
      </c>
      <c r="T19">
        <v>0.91500000000000004</v>
      </c>
      <c r="U19">
        <v>260.630253613582</v>
      </c>
      <c r="V19">
        <v>389.88351896272502</v>
      </c>
      <c r="W19">
        <v>0.41985155161371601</v>
      </c>
      <c r="X19">
        <v>0.38948276299250201</v>
      </c>
      <c r="Y19">
        <v>0.357256329546561</v>
      </c>
      <c r="AC19" s="49">
        <v>0.91500000000000004</v>
      </c>
      <c r="AD19">
        <v>300.99361055878802</v>
      </c>
      <c r="AE19">
        <v>554.20688059819497</v>
      </c>
      <c r="AF19">
        <v>0.54493454729523005</v>
      </c>
      <c r="AG19">
        <v>0.49957841762356903</v>
      </c>
      <c r="AH19">
        <v>0.456178189147736</v>
      </c>
    </row>
    <row r="20" spans="1:34" x14ac:dyDescent="0.35">
      <c r="B20">
        <v>0.98199999999999998</v>
      </c>
      <c r="C20">
        <v>272.54957658879198</v>
      </c>
      <c r="D20">
        <v>558.04029430114099</v>
      </c>
      <c r="E20">
        <v>0.56583391833310304</v>
      </c>
      <c r="F20">
        <v>0.50643831009102402</v>
      </c>
      <c r="G20">
        <v>0.44798076176153101</v>
      </c>
      <c r="K20" s="49">
        <v>0.91</v>
      </c>
      <c r="L20">
        <v>635.545778943556</v>
      </c>
      <c r="M20">
        <v>848.48245731355701</v>
      </c>
      <c r="N20">
        <v>0.51154238214566095</v>
      </c>
      <c r="O20">
        <v>0.48548655936177398</v>
      </c>
      <c r="P20">
        <v>0.45733440140786302</v>
      </c>
      <c r="T20">
        <v>0.91</v>
      </c>
      <c r="U20">
        <v>249.48707073452101</v>
      </c>
      <c r="V20">
        <v>374.88264291063399</v>
      </c>
      <c r="W20">
        <v>0.40678440027499502</v>
      </c>
      <c r="X20">
        <v>0.37687771253131902</v>
      </c>
      <c r="Y20">
        <v>0.34496535554205598</v>
      </c>
      <c r="AC20" s="49">
        <v>0.91</v>
      </c>
      <c r="AD20">
        <v>289.93243205377502</v>
      </c>
      <c r="AE20">
        <v>539.02837364476704</v>
      </c>
      <c r="AF20">
        <v>0.53318803249898095</v>
      </c>
      <c r="AG20">
        <v>0.48750083818469397</v>
      </c>
      <c r="AH20">
        <v>0.44398571178680502</v>
      </c>
    </row>
    <row r="21" spans="1:34" x14ac:dyDescent="0.35">
      <c r="B21">
        <v>0.98099999999999998</v>
      </c>
      <c r="C21">
        <v>267.36656802239901</v>
      </c>
      <c r="D21">
        <v>551.90598558119996</v>
      </c>
      <c r="E21">
        <v>0.56166461746089502</v>
      </c>
      <c r="F21">
        <v>0.50215243114832997</v>
      </c>
      <c r="G21">
        <v>0.44321225045440799</v>
      </c>
      <c r="K21" s="49">
        <v>0.90500000000000003</v>
      </c>
      <c r="L21">
        <v>588.391702638634</v>
      </c>
      <c r="M21">
        <v>794.75930606291001</v>
      </c>
      <c r="N21">
        <v>0.49479214884795297</v>
      </c>
      <c r="O21">
        <v>0.46858337102181802</v>
      </c>
      <c r="P21">
        <v>0.440249082033913</v>
      </c>
      <c r="T21">
        <v>0.90500000000000003</v>
      </c>
      <c r="U21">
        <v>238.34388785546</v>
      </c>
      <c r="V21">
        <v>359.88176685854199</v>
      </c>
      <c r="W21">
        <v>0.39371724893627502</v>
      </c>
      <c r="X21">
        <v>0.36427266207013598</v>
      </c>
      <c r="Y21">
        <v>0.33267438153755002</v>
      </c>
      <c r="AC21" s="49">
        <v>0.90500000000000003</v>
      </c>
      <c r="AD21">
        <v>278.87125354876201</v>
      </c>
      <c r="AE21">
        <v>523.849866691339</v>
      </c>
      <c r="AF21">
        <v>0.52144151770273295</v>
      </c>
      <c r="AG21">
        <v>0.47542325874581998</v>
      </c>
      <c r="AH21">
        <v>0.43179323442587297</v>
      </c>
    </row>
    <row r="22" spans="1:34" x14ac:dyDescent="0.35">
      <c r="A22">
        <v>0.98</v>
      </c>
      <c r="B22">
        <v>0.98</v>
      </c>
      <c r="C22">
        <v>262.20933685969902</v>
      </c>
      <c r="D22">
        <v>545.66124488745697</v>
      </c>
      <c r="E22">
        <v>0.55737356280681605</v>
      </c>
      <c r="F22">
        <v>0.49773214279320799</v>
      </c>
      <c r="G22">
        <v>0.43834735034641698</v>
      </c>
      <c r="J22" s="42">
        <v>0.9</v>
      </c>
      <c r="K22" s="49">
        <v>0.9</v>
      </c>
      <c r="L22">
        <v>541.237626333712</v>
      </c>
      <c r="M22">
        <v>741.03615481226302</v>
      </c>
      <c r="N22">
        <v>0.478041915550244</v>
      </c>
      <c r="O22">
        <v>0.451680182681863</v>
      </c>
      <c r="P22">
        <v>0.42316376265996303</v>
      </c>
      <c r="S22" s="42">
        <v>0.9</v>
      </c>
      <c r="T22">
        <v>0.9</v>
      </c>
      <c r="U22">
        <v>227.20070497639799</v>
      </c>
      <c r="V22">
        <v>344.88089080645</v>
      </c>
      <c r="W22">
        <v>0.38065009759755503</v>
      </c>
      <c r="X22">
        <v>0.35166761160895199</v>
      </c>
      <c r="Y22">
        <v>0.32038340753304501</v>
      </c>
      <c r="AB22" s="42">
        <v>0.9</v>
      </c>
      <c r="AC22" s="49">
        <v>0.9</v>
      </c>
      <c r="AD22">
        <v>267.81007504374901</v>
      </c>
      <c r="AE22">
        <v>508.67135973791102</v>
      </c>
      <c r="AF22">
        <v>0.50969500290648395</v>
      </c>
      <c r="AG22">
        <v>0.46334567930694498</v>
      </c>
      <c r="AH22">
        <v>0.41960075706494199</v>
      </c>
    </row>
    <row r="23" spans="1:34" x14ac:dyDescent="0.35">
      <c r="B23">
        <v>0.97899999999999998</v>
      </c>
      <c r="C23">
        <v>257.07907062265599</v>
      </c>
      <c r="D23">
        <v>539.30503465507798</v>
      </c>
      <c r="E23">
        <v>0.552959684388593</v>
      </c>
      <c r="F23">
        <v>0.493177399870737</v>
      </c>
      <c r="G23">
        <v>0.43338722106852501</v>
      </c>
      <c r="K23" s="49">
        <v>0.89500000000000002</v>
      </c>
      <c r="L23">
        <v>494.08355002879</v>
      </c>
      <c r="M23">
        <v>687.31300356161603</v>
      </c>
      <c r="N23">
        <v>0.46129168225253497</v>
      </c>
      <c r="O23">
        <v>0.43477699434190697</v>
      </c>
      <c r="P23">
        <v>0.406078443286012</v>
      </c>
      <c r="T23">
        <v>0.89500000000000002</v>
      </c>
      <c r="U23">
        <v>216.057522097337</v>
      </c>
      <c r="V23">
        <v>329.880014754358</v>
      </c>
      <c r="W23">
        <v>0.36758294625883398</v>
      </c>
      <c r="X23">
        <v>0.339062561147769</v>
      </c>
      <c r="Y23">
        <v>0.30809243352853999</v>
      </c>
      <c r="AC23" s="49">
        <v>0.89500000000000002</v>
      </c>
      <c r="AD23">
        <v>256.74889653873601</v>
      </c>
      <c r="AE23">
        <v>493.49285278448201</v>
      </c>
      <c r="AF23">
        <v>0.49794848811023601</v>
      </c>
      <c r="AG23">
        <v>0.45126809986807098</v>
      </c>
      <c r="AH23">
        <v>0.40740827970401</v>
      </c>
    </row>
    <row r="24" spans="1:34" x14ac:dyDescent="0.35">
      <c r="B24">
        <v>0.97799999999999998</v>
      </c>
      <c r="C24">
        <v>251.977661049803</v>
      </c>
      <c r="D24">
        <v>532.83809427922199</v>
      </c>
      <c r="E24">
        <v>0.54842275446526201</v>
      </c>
      <c r="F24">
        <v>0.48848903306344299</v>
      </c>
      <c r="G24">
        <v>0.428333700738951</v>
      </c>
      <c r="K24" s="49">
        <v>0.89</v>
      </c>
      <c r="L24">
        <v>446.92947372386902</v>
      </c>
      <c r="M24">
        <v>633.58985231096904</v>
      </c>
      <c r="N24">
        <v>0.444541448954826</v>
      </c>
      <c r="O24">
        <v>0.41787380600195101</v>
      </c>
      <c r="P24">
        <v>0.38899312391206198</v>
      </c>
      <c r="T24">
        <v>0.89</v>
      </c>
      <c r="U24">
        <v>208.21595309584799</v>
      </c>
      <c r="V24">
        <v>319.89437943672499</v>
      </c>
      <c r="W24">
        <v>0.358575307535272</v>
      </c>
      <c r="X24">
        <v>0.33035567700830598</v>
      </c>
      <c r="Y24">
        <v>0.29961287877234299</v>
      </c>
      <c r="AC24" s="49">
        <v>0.89</v>
      </c>
      <c r="AD24">
        <v>245.79205136837601</v>
      </c>
      <c r="AE24">
        <v>478.26455643628299</v>
      </c>
      <c r="AF24">
        <v>0.48604538597112201</v>
      </c>
      <c r="AG24">
        <v>0.43912579634042098</v>
      </c>
      <c r="AH24">
        <v>0.395201020299496</v>
      </c>
    </row>
    <row r="25" spans="1:34" x14ac:dyDescent="0.35">
      <c r="B25">
        <v>0.97699999999999998</v>
      </c>
      <c r="C25">
        <v>246.90798351772301</v>
      </c>
      <c r="D25">
        <v>526.26373738605605</v>
      </c>
      <c r="E25">
        <v>0.54376374506496405</v>
      </c>
      <c r="F25">
        <v>0.48366908861134</v>
      </c>
      <c r="G25">
        <v>0.42318955613370202</v>
      </c>
      <c r="K25" s="49">
        <v>0.88500000000000001</v>
      </c>
      <c r="L25">
        <v>403.016511813053</v>
      </c>
      <c r="M25">
        <v>582.18633399150099</v>
      </c>
      <c r="N25">
        <v>0.42736528624586101</v>
      </c>
      <c r="O25">
        <v>0.40054578059009199</v>
      </c>
      <c r="P25">
        <v>0.37159937373000002</v>
      </c>
      <c r="T25">
        <v>0.88500000000000001</v>
      </c>
      <c r="U25">
        <v>204.34376624737999</v>
      </c>
      <c r="V25">
        <v>315.938342916122</v>
      </c>
      <c r="W25">
        <v>0.35444823859427599</v>
      </c>
      <c r="X25">
        <v>0.326335383245767</v>
      </c>
      <c r="Y25">
        <v>0.29571562228085102</v>
      </c>
      <c r="AC25" s="49">
        <v>0.88500000000000001</v>
      </c>
      <c r="AD25">
        <v>235.78389400438999</v>
      </c>
      <c r="AE25">
        <v>462.58353237778101</v>
      </c>
      <c r="AF25">
        <v>0.47271845794449402</v>
      </c>
      <c r="AG25">
        <v>0.42639496610648397</v>
      </c>
      <c r="AH25">
        <v>0.38285934992702902</v>
      </c>
    </row>
    <row r="26" spans="1:34" x14ac:dyDescent="0.35">
      <c r="B26">
        <v>0.97599999999999998</v>
      </c>
      <c r="C26">
        <v>241.87335584875601</v>
      </c>
      <c r="D26">
        <v>519.58665942901905</v>
      </c>
      <c r="E26">
        <v>0.53898432704638299</v>
      </c>
      <c r="F26">
        <v>0.478720351169244</v>
      </c>
      <c r="G26">
        <v>0.41795801393912302</v>
      </c>
      <c r="J26">
        <v>0.88</v>
      </c>
      <c r="K26" s="49">
        <v>0.88</v>
      </c>
      <c r="L26">
        <v>369.52534080324199</v>
      </c>
      <c r="M26">
        <v>538.24158646389401</v>
      </c>
      <c r="N26">
        <v>0.408819549148908</v>
      </c>
      <c r="O26">
        <v>0.38185169320324602</v>
      </c>
      <c r="P26">
        <v>0.35321386546762601</v>
      </c>
      <c r="S26">
        <v>0.88</v>
      </c>
      <c r="T26">
        <v>0.88</v>
      </c>
      <c r="U26">
        <v>200.47157939891201</v>
      </c>
      <c r="V26">
        <v>311.98230639552003</v>
      </c>
      <c r="W26">
        <v>0.35032116965327997</v>
      </c>
      <c r="X26">
        <v>0.32231508948322801</v>
      </c>
      <c r="Y26">
        <v>0.29181836578935799</v>
      </c>
      <c r="AB26">
        <v>0.88</v>
      </c>
      <c r="AC26" s="49">
        <v>0.88</v>
      </c>
      <c r="AD26">
        <v>225.77573664040401</v>
      </c>
      <c r="AE26">
        <v>446.90250831927898</v>
      </c>
      <c r="AF26">
        <v>0.45939152991786603</v>
      </c>
      <c r="AG26">
        <v>0.41366413587254702</v>
      </c>
      <c r="AH26">
        <v>0.370517679554563</v>
      </c>
    </row>
    <row r="27" spans="1:34" x14ac:dyDescent="0.35">
      <c r="B27">
        <v>0.97499999999999998</v>
      </c>
      <c r="C27">
        <v>236.87748789373001</v>
      </c>
      <c r="D27">
        <v>512.81288294077103</v>
      </c>
      <c r="E27">
        <v>0.53408686185328003</v>
      </c>
      <c r="F27">
        <v>0.473646334109389</v>
      </c>
      <c r="G27">
        <v>0.41264272163283899</v>
      </c>
      <c r="K27" s="49">
        <v>0.875</v>
      </c>
      <c r="L27">
        <v>336.034169793432</v>
      </c>
      <c r="M27">
        <v>494.29683893628697</v>
      </c>
      <c r="N27">
        <v>0.39027381205195599</v>
      </c>
      <c r="O27">
        <v>0.363157605816399</v>
      </c>
      <c r="P27">
        <v>0.334828357205252</v>
      </c>
      <c r="T27">
        <v>0.875</v>
      </c>
      <c r="U27">
        <v>196.59939255044401</v>
      </c>
      <c r="V27">
        <v>308.026269874918</v>
      </c>
      <c r="W27">
        <v>0.34619410071228301</v>
      </c>
      <c r="X27">
        <v>0.31829479572069003</v>
      </c>
      <c r="Y27">
        <v>0.28792110929786602</v>
      </c>
      <c r="AC27" s="49">
        <v>0.875</v>
      </c>
      <c r="AD27">
        <v>215.76757927641799</v>
      </c>
      <c r="AE27">
        <v>431.221484260777</v>
      </c>
      <c r="AF27">
        <v>0.44606460189123798</v>
      </c>
      <c r="AG27">
        <v>0.40093330563861002</v>
      </c>
      <c r="AH27">
        <v>0.35817600918209602</v>
      </c>
    </row>
    <row r="28" spans="1:34" x14ac:dyDescent="0.35">
      <c r="B28">
        <v>0.97399999999999998</v>
      </c>
      <c r="C28">
        <v>231.92448671080899</v>
      </c>
      <c r="D28">
        <v>505.94984304015998</v>
      </c>
      <c r="E28">
        <v>0.52907445709051604</v>
      </c>
      <c r="F28">
        <v>0.46845132711631499</v>
      </c>
      <c r="G28">
        <v>0.40724775677313202</v>
      </c>
      <c r="K28" s="49">
        <v>0.87</v>
      </c>
      <c r="L28">
        <v>302.54299878362099</v>
      </c>
      <c r="M28">
        <v>450.35209140868</v>
      </c>
      <c r="N28">
        <v>0.37172807495500299</v>
      </c>
      <c r="O28">
        <v>0.34446351842955297</v>
      </c>
      <c r="P28">
        <v>0.316442848942878</v>
      </c>
      <c r="T28">
        <v>0.87</v>
      </c>
      <c r="U28">
        <v>192.727205701977</v>
      </c>
      <c r="V28">
        <v>304.07023335431501</v>
      </c>
      <c r="W28">
        <v>0.342067031771287</v>
      </c>
      <c r="X28">
        <v>0.31427450195815099</v>
      </c>
      <c r="Y28">
        <v>0.28402385280637299</v>
      </c>
      <c r="AC28" s="49">
        <v>0.87</v>
      </c>
      <c r="AD28">
        <v>205.759421912433</v>
      </c>
      <c r="AE28">
        <v>415.54046020227503</v>
      </c>
      <c r="AF28">
        <v>0.43273767386460998</v>
      </c>
      <c r="AG28">
        <v>0.38820247540467301</v>
      </c>
      <c r="AH28">
        <v>0.34583433880962999</v>
      </c>
    </row>
    <row r="29" spans="1:34" x14ac:dyDescent="0.35">
      <c r="B29">
        <v>0.97299999999999998</v>
      </c>
      <c r="C29">
        <v>227.018855686584</v>
      </c>
      <c r="D29">
        <v>499.00651964892302</v>
      </c>
      <c r="E29">
        <v>0.52395111835100205</v>
      </c>
      <c r="F29">
        <v>0.46314052029394098</v>
      </c>
      <c r="G29">
        <v>0.401777653447701</v>
      </c>
      <c r="K29" s="49">
        <v>0.86499999999999999</v>
      </c>
      <c r="L29">
        <v>269.05182777380998</v>
      </c>
      <c r="M29">
        <v>406.40734388107302</v>
      </c>
      <c r="N29">
        <v>0.35318233785805098</v>
      </c>
      <c r="O29">
        <v>0.325769431042706</v>
      </c>
      <c r="P29">
        <v>0.29805734068050399</v>
      </c>
      <c r="T29">
        <v>0.86499999999999999</v>
      </c>
      <c r="U29">
        <v>188.85501885350899</v>
      </c>
      <c r="V29">
        <v>300.11419683371298</v>
      </c>
      <c r="W29">
        <v>0.33793996283029099</v>
      </c>
      <c r="X29">
        <v>0.310254208195612</v>
      </c>
      <c r="Y29">
        <v>0.28012659631488102</v>
      </c>
      <c r="AC29" s="49">
        <v>0.86499999999999999</v>
      </c>
      <c r="AD29">
        <v>195.75126454844701</v>
      </c>
      <c r="AE29">
        <v>399.85943614377197</v>
      </c>
      <c r="AF29">
        <v>0.41941074583798199</v>
      </c>
      <c r="AG29">
        <v>0.375471645170736</v>
      </c>
      <c r="AH29">
        <v>0.33349266843716302</v>
      </c>
    </row>
    <row r="30" spans="1:34" x14ac:dyDescent="0.35">
      <c r="B30">
        <v>0.97199999999999998</v>
      </c>
      <c r="C30">
        <v>222.16546364676</v>
      </c>
      <c r="D30">
        <v>491.99420369168598</v>
      </c>
      <c r="E30">
        <v>0.51872314413398601</v>
      </c>
      <c r="F30">
        <v>0.45772117298346199</v>
      </c>
      <c r="G30">
        <v>0.39623770784260398</v>
      </c>
      <c r="J30">
        <v>0.86</v>
      </c>
      <c r="K30" s="49">
        <v>0.86</v>
      </c>
      <c r="L30">
        <v>237.83542887095899</v>
      </c>
      <c r="M30">
        <v>365.21651637638098</v>
      </c>
      <c r="N30">
        <v>0.33448137109770798</v>
      </c>
      <c r="O30">
        <v>0.30705300686124698</v>
      </c>
      <c r="P30">
        <v>0.27969321988384999</v>
      </c>
      <c r="S30">
        <v>0.86</v>
      </c>
      <c r="T30">
        <v>0.86</v>
      </c>
      <c r="U30">
        <v>184.98283200504099</v>
      </c>
      <c r="V30">
        <v>296.15816031310999</v>
      </c>
      <c r="W30">
        <v>0.33381289388929403</v>
      </c>
      <c r="X30">
        <v>0.30623391443307302</v>
      </c>
      <c r="Y30">
        <v>0.27622933982338799</v>
      </c>
      <c r="AB30">
        <v>0.86</v>
      </c>
      <c r="AC30" s="49">
        <v>0.86</v>
      </c>
      <c r="AD30">
        <v>185.743107184461</v>
      </c>
      <c r="AE30">
        <v>384.17841208527</v>
      </c>
      <c r="AF30">
        <v>0.406083817811354</v>
      </c>
      <c r="AG30">
        <v>0.36274081493679899</v>
      </c>
      <c r="AH30">
        <v>0.32115099806469599</v>
      </c>
    </row>
    <row r="31" spans="1:34" x14ac:dyDescent="0.35">
      <c r="B31">
        <v>0.97099999999999997</v>
      </c>
      <c r="C31">
        <v>217.36950055639801</v>
      </c>
      <c r="D31">
        <v>484.92656842055601</v>
      </c>
      <c r="E31">
        <v>0.51339934345853699</v>
      </c>
      <c r="F31">
        <v>0.45220274074518801</v>
      </c>
      <c r="G31">
        <v>0.39063395136667001</v>
      </c>
      <c r="K31" s="49">
        <v>0.85499999999999998</v>
      </c>
      <c r="L31">
        <v>217.47046736466601</v>
      </c>
      <c r="M31">
        <v>337.16282495330597</v>
      </c>
      <c r="N31">
        <v>0.315039905995045</v>
      </c>
      <c r="O31">
        <v>0.28823002856492302</v>
      </c>
      <c r="P31">
        <v>0.26143112458003998</v>
      </c>
      <c r="T31">
        <v>0.85499999999999998</v>
      </c>
      <c r="U31">
        <v>173.99784620946301</v>
      </c>
      <c r="V31">
        <v>280.34242705645499</v>
      </c>
      <c r="W31">
        <v>0.31871928131001898</v>
      </c>
      <c r="X31">
        <v>0.29110347391803199</v>
      </c>
      <c r="Y31">
        <v>0.26162684961895899</v>
      </c>
      <c r="AC31" s="49">
        <v>0.85499999999999998</v>
      </c>
      <c r="AD31">
        <v>175.73494982047501</v>
      </c>
      <c r="AE31">
        <v>368.49738802676802</v>
      </c>
      <c r="AF31">
        <v>0.392756889784727</v>
      </c>
      <c r="AG31">
        <v>0.35000998470286199</v>
      </c>
      <c r="AH31">
        <v>0.30880932769223002</v>
      </c>
    </row>
    <row r="32" spans="1:34" x14ac:dyDescent="0.35">
      <c r="A32">
        <v>0.97</v>
      </c>
      <c r="B32">
        <v>0.97</v>
      </c>
      <c r="C32">
        <v>212.636427914617</v>
      </c>
      <c r="D32">
        <v>477.81922812014102</v>
      </c>
      <c r="E32">
        <v>0.50799037645260303</v>
      </c>
      <c r="F32">
        <v>0.44659622897724099</v>
      </c>
      <c r="G32">
        <v>0.38497290153452801</v>
      </c>
      <c r="K32" s="49">
        <v>0.85</v>
      </c>
      <c r="L32">
        <v>197.105505858372</v>
      </c>
      <c r="M32">
        <v>309.10913353023</v>
      </c>
      <c r="N32">
        <v>0.29559844089238102</v>
      </c>
      <c r="O32">
        <v>0.26940705026859901</v>
      </c>
      <c r="P32">
        <v>0.24316902927622999</v>
      </c>
      <c r="T32">
        <v>0.85</v>
      </c>
      <c r="U32">
        <v>161.70475752225499</v>
      </c>
      <c r="V32">
        <v>262.345596919424</v>
      </c>
      <c r="W32">
        <v>0.30160883013442102</v>
      </c>
      <c r="X32">
        <v>0.27392978499945198</v>
      </c>
      <c r="Y32">
        <v>0.24505557788709001</v>
      </c>
      <c r="AC32" s="49">
        <v>0.85</v>
      </c>
      <c r="AD32">
        <v>165.72679245648899</v>
      </c>
      <c r="AE32">
        <v>352.81636396826599</v>
      </c>
      <c r="AF32">
        <v>0.37942996175809901</v>
      </c>
      <c r="AG32">
        <v>0.33727915446892498</v>
      </c>
      <c r="AH32">
        <v>0.29646765731976299</v>
      </c>
    </row>
    <row r="33" spans="1:34" x14ac:dyDescent="0.35">
      <c r="B33">
        <v>0.96899999999999997</v>
      </c>
      <c r="C33">
        <v>207.97188572944299</v>
      </c>
      <c r="D33">
        <v>470.68959605573502</v>
      </c>
      <c r="E33">
        <v>0.50250884600606904</v>
      </c>
      <c r="F33">
        <v>0.44091413914351102</v>
      </c>
      <c r="G33">
        <v>0.37926146223442903</v>
      </c>
      <c r="K33" s="49">
        <v>0.84499999999999997</v>
      </c>
      <c r="L33">
        <v>176.74054435207799</v>
      </c>
      <c r="M33">
        <v>281.05544210715499</v>
      </c>
      <c r="N33">
        <v>0.27615697578971699</v>
      </c>
      <c r="O33">
        <v>0.250584071972274</v>
      </c>
      <c r="P33">
        <v>0.22490693397242101</v>
      </c>
      <c r="T33">
        <v>0.84499999999999997</v>
      </c>
      <c r="U33">
        <v>149.411668835048</v>
      </c>
      <c r="V33">
        <v>244.348766782393</v>
      </c>
      <c r="W33">
        <v>0.28449837895882202</v>
      </c>
      <c r="X33">
        <v>0.25675609608087302</v>
      </c>
      <c r="Y33">
        <v>0.228484306155221</v>
      </c>
      <c r="AC33" s="49">
        <v>0.84499999999999997</v>
      </c>
      <c r="AD33">
        <v>155.973228340395</v>
      </c>
      <c r="AE33">
        <v>337.35626860048001</v>
      </c>
      <c r="AF33">
        <v>0.36588347068763999</v>
      </c>
      <c r="AG33">
        <v>0.324298530434107</v>
      </c>
      <c r="AH33">
        <v>0.28396227517640898</v>
      </c>
    </row>
    <row r="34" spans="1:34" x14ac:dyDescent="0.35">
      <c r="B34">
        <v>0.96799999999999997</v>
      </c>
      <c r="C34">
        <v>203.38153383316299</v>
      </c>
      <c r="D34">
        <v>463.55651643212201</v>
      </c>
      <c r="E34">
        <v>0.49696937667311503</v>
      </c>
      <c r="F34">
        <v>0.43517030607124002</v>
      </c>
      <c r="G34">
        <v>0.37350675215257001</v>
      </c>
      <c r="J34">
        <v>0.84</v>
      </c>
      <c r="K34" s="49">
        <v>0.84</v>
      </c>
      <c r="L34">
        <v>156.375582845785</v>
      </c>
      <c r="M34">
        <v>253.00175068408001</v>
      </c>
      <c r="N34">
        <v>0.25671551068705301</v>
      </c>
      <c r="O34">
        <v>0.23176109367594999</v>
      </c>
      <c r="P34">
        <v>0.206644838668611</v>
      </c>
      <c r="S34">
        <v>0.84</v>
      </c>
      <c r="T34">
        <v>0.84</v>
      </c>
      <c r="U34">
        <v>137.11858014783999</v>
      </c>
      <c r="V34">
        <v>226.351936645363</v>
      </c>
      <c r="W34">
        <v>0.26738792778322401</v>
      </c>
      <c r="X34">
        <v>0.23958240716229301</v>
      </c>
      <c r="Y34">
        <v>0.21191303442335199</v>
      </c>
      <c r="AB34">
        <v>0.84</v>
      </c>
      <c r="AC34" s="49">
        <v>0.84</v>
      </c>
      <c r="AD34">
        <v>147.27659605312701</v>
      </c>
      <c r="AE34">
        <v>322.81334824441001</v>
      </c>
      <c r="AF34">
        <v>0.35142547402392699</v>
      </c>
      <c r="AG34">
        <v>0.31028089924776397</v>
      </c>
      <c r="AH34">
        <v>0.27077725135819702</v>
      </c>
    </row>
    <row r="35" spans="1:34" x14ac:dyDescent="0.35">
      <c r="B35">
        <v>0.96699999999999997</v>
      </c>
      <c r="C35">
        <v>198.86971269585899</v>
      </c>
      <c r="D35">
        <v>456.43644156035299</v>
      </c>
      <c r="E35">
        <v>0.49138636313767903</v>
      </c>
      <c r="F35">
        <v>0.42937710661363898</v>
      </c>
      <c r="G35">
        <v>0.36771447493148302</v>
      </c>
      <c r="K35" s="49">
        <v>0.83499999999999996</v>
      </c>
      <c r="L35">
        <v>138.762093366042</v>
      </c>
      <c r="M35">
        <v>228.60628714454</v>
      </c>
      <c r="N35">
        <v>0.238891774186725</v>
      </c>
      <c r="O35">
        <v>0.21463932709939701</v>
      </c>
      <c r="P35">
        <v>0.19013205994618099</v>
      </c>
      <c r="T35">
        <v>0.83499999999999996</v>
      </c>
      <c r="U35">
        <v>124.82549146063199</v>
      </c>
      <c r="V35">
        <v>208.355106508332</v>
      </c>
      <c r="W35">
        <v>0.250277476607625</v>
      </c>
      <c r="X35">
        <v>0.222408718243713</v>
      </c>
      <c r="Y35">
        <v>0.19534176269148301</v>
      </c>
      <c r="AC35" s="49">
        <v>0.83499999999999996</v>
      </c>
      <c r="AD35">
        <v>138.57996376585899</v>
      </c>
      <c r="AE35">
        <v>308.27042788834098</v>
      </c>
      <c r="AF35">
        <v>0.33696747736021498</v>
      </c>
      <c r="AG35">
        <v>0.296263268061421</v>
      </c>
      <c r="AH35">
        <v>0.25759222753998401</v>
      </c>
    </row>
    <row r="36" spans="1:34" x14ac:dyDescent="0.35">
      <c r="B36">
        <v>0.96599999999999997</v>
      </c>
      <c r="C36">
        <v>194.43485457042399</v>
      </c>
      <c r="D36">
        <v>449.32973287631501</v>
      </c>
      <c r="E36">
        <v>0.485764830921397</v>
      </c>
      <c r="F36">
        <v>0.42353504605496001</v>
      </c>
      <c r="G36">
        <v>0.36188325111135899</v>
      </c>
      <c r="K36" s="49">
        <v>0.83</v>
      </c>
      <c r="L36">
        <v>125.439548103801</v>
      </c>
      <c r="M36">
        <v>209.915861356313</v>
      </c>
      <c r="N36">
        <v>0.223590899312718</v>
      </c>
      <c r="O36">
        <v>0.20017061478661699</v>
      </c>
      <c r="P36">
        <v>0.17634735543167199</v>
      </c>
      <c r="T36">
        <v>0.83</v>
      </c>
      <c r="U36">
        <v>112.532402773424</v>
      </c>
      <c r="V36">
        <v>190.358276371301</v>
      </c>
      <c r="W36">
        <v>0.233167025432027</v>
      </c>
      <c r="X36">
        <v>0.20523502932513299</v>
      </c>
      <c r="Y36">
        <v>0.178770490959614</v>
      </c>
      <c r="AC36" s="49">
        <v>0.83</v>
      </c>
      <c r="AD36">
        <v>129.883331478591</v>
      </c>
      <c r="AE36">
        <v>293.727507532272</v>
      </c>
      <c r="AF36">
        <v>0.32250948069650198</v>
      </c>
      <c r="AG36">
        <v>0.28224563687507798</v>
      </c>
      <c r="AH36">
        <v>0.24440720372177199</v>
      </c>
    </row>
    <row r="37" spans="1:34" x14ac:dyDescent="0.35">
      <c r="B37">
        <v>0.96499999999999997</v>
      </c>
      <c r="C37">
        <v>190.07044066617701</v>
      </c>
      <c r="D37">
        <v>442.21985376509798</v>
      </c>
      <c r="E37">
        <v>0.48010209493973399</v>
      </c>
      <c r="F37">
        <v>0.41763323512197997</v>
      </c>
      <c r="G37">
        <v>0.35600579263716198</v>
      </c>
      <c r="K37" s="49">
        <v>0.82499999999999996</v>
      </c>
      <c r="L37">
        <v>112.11700284155999</v>
      </c>
      <c r="M37">
        <v>191.22543556808699</v>
      </c>
      <c r="N37">
        <v>0.20829002443871</v>
      </c>
      <c r="O37">
        <v>0.185701902473838</v>
      </c>
      <c r="P37">
        <v>0.16256265091716299</v>
      </c>
      <c r="T37">
        <v>0.82499999999999996</v>
      </c>
      <c r="U37">
        <v>105.324369750545</v>
      </c>
      <c r="V37">
        <v>179.40682233590499</v>
      </c>
      <c r="W37">
        <v>0.22132036982351999</v>
      </c>
      <c r="X37">
        <v>0.19427954501920899</v>
      </c>
      <c r="Y37">
        <v>0.16869519998862501</v>
      </c>
      <c r="AC37" s="49">
        <v>0.82499999999999996</v>
      </c>
      <c r="AD37">
        <v>121.18669919132201</v>
      </c>
      <c r="AE37">
        <v>279.18458717620302</v>
      </c>
      <c r="AF37">
        <v>0.30805148403278898</v>
      </c>
      <c r="AG37">
        <v>0.26822800568873501</v>
      </c>
      <c r="AH37">
        <v>0.23122217990356</v>
      </c>
    </row>
    <row r="38" spans="1:34" x14ac:dyDescent="0.35">
      <c r="B38">
        <v>0.96399999999999997</v>
      </c>
      <c r="C38">
        <v>185.76407370988801</v>
      </c>
      <c r="D38">
        <v>435.06197819500801</v>
      </c>
      <c r="E38">
        <v>0.47438356850133001</v>
      </c>
      <c r="F38">
        <v>0.41164321898755801</v>
      </c>
      <c r="G38">
        <v>0.35006773878106601</v>
      </c>
      <c r="J38">
        <v>0.82</v>
      </c>
      <c r="K38" s="49">
        <v>0.82</v>
      </c>
      <c r="L38">
        <v>98.794457579319001</v>
      </c>
      <c r="M38">
        <v>172.53500977985999</v>
      </c>
      <c r="N38">
        <v>0.19298914956470301</v>
      </c>
      <c r="O38">
        <v>0.17123319016105801</v>
      </c>
      <c r="P38">
        <v>0.14877794640265399</v>
      </c>
      <c r="S38">
        <v>0.82</v>
      </c>
      <c r="T38">
        <v>0.82</v>
      </c>
      <c r="U38">
        <v>100.220061407616</v>
      </c>
      <c r="V38">
        <v>171.37009186755199</v>
      </c>
      <c r="W38">
        <v>0.21165138489861501</v>
      </c>
      <c r="X38">
        <v>0.185896577391988</v>
      </c>
      <c r="Y38">
        <v>0.16130734371830199</v>
      </c>
      <c r="AB38">
        <v>0.82</v>
      </c>
      <c r="AC38" s="49">
        <v>0.82</v>
      </c>
      <c r="AD38">
        <v>112.490066904054</v>
      </c>
      <c r="AE38">
        <v>264.64166682013399</v>
      </c>
      <c r="AF38">
        <v>0.29359348736907698</v>
      </c>
      <c r="AG38">
        <v>0.25421037450239198</v>
      </c>
      <c r="AH38">
        <v>0.21803715608534899</v>
      </c>
    </row>
    <row r="39" spans="1:34" x14ac:dyDescent="0.35">
      <c r="B39">
        <v>0.96299999999999997</v>
      </c>
      <c r="C39">
        <v>181.49414254570999</v>
      </c>
      <c r="D39">
        <v>427.75063913576997</v>
      </c>
      <c r="E39">
        <v>0.46856594356208198</v>
      </c>
      <c r="F39">
        <v>0.40550102205899302</v>
      </c>
      <c r="G39">
        <v>0.34404349303635701</v>
      </c>
      <c r="K39" s="49">
        <v>0.81499999999999995</v>
      </c>
      <c r="L39">
        <v>85.471912317077496</v>
      </c>
      <c r="M39">
        <v>153.84458399163299</v>
      </c>
      <c r="N39">
        <v>0.17768827469069501</v>
      </c>
      <c r="O39">
        <v>0.15676447784827799</v>
      </c>
      <c r="P39">
        <v>0.13499324188814499</v>
      </c>
      <c r="T39">
        <v>0.81499999999999995</v>
      </c>
      <c r="U39">
        <v>95.115753064686203</v>
      </c>
      <c r="V39">
        <v>163.333361399198</v>
      </c>
      <c r="W39">
        <v>0.20198239997371001</v>
      </c>
      <c r="X39">
        <v>0.17751360976476599</v>
      </c>
      <c r="Y39">
        <v>0.15391948744797901</v>
      </c>
      <c r="AC39" s="49">
        <v>0.81499999999999995</v>
      </c>
      <c r="AD39">
        <v>103.793434616786</v>
      </c>
      <c r="AE39">
        <v>250.09874646406399</v>
      </c>
      <c r="AF39">
        <v>0.27913549070536398</v>
      </c>
      <c r="AG39">
        <v>0.24019274331604901</v>
      </c>
      <c r="AH39">
        <v>0.204852132267136</v>
      </c>
    </row>
    <row r="40" spans="1:34" x14ac:dyDescent="0.35">
      <c r="B40">
        <v>0.96199999999999997</v>
      </c>
      <c r="C40">
        <v>177.22390455263499</v>
      </c>
      <c r="D40">
        <v>420.05910208278601</v>
      </c>
      <c r="E40">
        <v>0.46253518189514198</v>
      </c>
      <c r="F40">
        <v>0.399077237160822</v>
      </c>
      <c r="G40">
        <v>0.33788886589072298</v>
      </c>
      <c r="K40" s="49">
        <v>0.81</v>
      </c>
      <c r="L40">
        <v>82.449489140981697</v>
      </c>
      <c r="M40">
        <v>149.47092169333499</v>
      </c>
      <c r="N40">
        <v>0.1729733134067</v>
      </c>
      <c r="O40">
        <v>0.15221617741067101</v>
      </c>
      <c r="P40">
        <v>0.13116268221877</v>
      </c>
      <c r="T40">
        <v>0.81</v>
      </c>
      <c r="U40">
        <v>90.011444721756803</v>
      </c>
      <c r="V40">
        <v>155.296630930845</v>
      </c>
      <c r="W40">
        <v>0.192313415048806</v>
      </c>
      <c r="X40">
        <v>0.169130642137545</v>
      </c>
      <c r="Y40">
        <v>0.146531631177657</v>
      </c>
      <c r="AC40" s="49">
        <v>0.81</v>
      </c>
      <c r="AD40">
        <v>95.096802329517899</v>
      </c>
      <c r="AE40">
        <v>235.55582610799499</v>
      </c>
      <c r="AF40">
        <v>0.26467749404165197</v>
      </c>
      <c r="AG40">
        <v>0.22617511212970601</v>
      </c>
      <c r="AH40">
        <v>0.19166710844892401</v>
      </c>
    </row>
    <row r="41" spans="1:34" x14ac:dyDescent="0.35">
      <c r="B41">
        <v>0.96099999999999997</v>
      </c>
      <c r="C41">
        <v>172.893637085021</v>
      </c>
      <c r="D41">
        <v>411.65431646770901</v>
      </c>
      <c r="E41">
        <v>0.456068179797394</v>
      </c>
      <c r="F41">
        <v>0.39219993832042999</v>
      </c>
      <c r="G41">
        <v>0.331531163599526</v>
      </c>
      <c r="K41" s="49">
        <v>0.80500000000000005</v>
      </c>
      <c r="L41">
        <v>81.0123401148592</v>
      </c>
      <c r="M41">
        <v>147.30072794444399</v>
      </c>
      <c r="N41">
        <v>0.16988761195358301</v>
      </c>
      <c r="O41">
        <v>0.14919471057476999</v>
      </c>
      <c r="P41">
        <v>0.128864147934736</v>
      </c>
      <c r="T41">
        <v>0.80500000000000005</v>
      </c>
      <c r="U41">
        <v>84.907136378827104</v>
      </c>
      <c r="V41">
        <v>147.259900462491</v>
      </c>
      <c r="W41">
        <v>0.182644430123901</v>
      </c>
      <c r="X41">
        <v>0.16074767451032401</v>
      </c>
      <c r="Y41">
        <v>0.13914377490733401</v>
      </c>
      <c r="AC41" s="49">
        <v>0.80500000000000005</v>
      </c>
      <c r="AD41">
        <v>87.067263097308</v>
      </c>
      <c r="AE41">
        <v>221.86504401235899</v>
      </c>
      <c r="AF41">
        <v>0.250928630291403</v>
      </c>
      <c r="AG41">
        <v>0.21292318825665901</v>
      </c>
      <c r="AH41">
        <v>0.17929770647943699</v>
      </c>
    </row>
    <row r="42" spans="1:34" x14ac:dyDescent="0.35">
      <c r="A42">
        <v>0.96</v>
      </c>
      <c r="B42">
        <v>0.96</v>
      </c>
      <c r="C42">
        <v>168.41162032553601</v>
      </c>
      <c r="D42">
        <v>402.88135329662299</v>
      </c>
      <c r="E42">
        <v>0.44919574830040399</v>
      </c>
      <c r="F42">
        <v>0.38505532776974799</v>
      </c>
      <c r="G42">
        <v>0.32485908136295899</v>
      </c>
      <c r="J42" s="42">
        <v>0.8</v>
      </c>
      <c r="K42" s="49">
        <v>0.8</v>
      </c>
      <c r="L42">
        <v>79.575191088736702</v>
      </c>
      <c r="M42">
        <v>145.130534195552</v>
      </c>
      <c r="N42">
        <v>0.166801910500467</v>
      </c>
      <c r="O42">
        <v>0.146173243738868</v>
      </c>
      <c r="P42">
        <v>0.12656561365070099</v>
      </c>
      <c r="S42" s="42">
        <v>0.8</v>
      </c>
      <c r="T42">
        <v>0.8</v>
      </c>
      <c r="U42">
        <v>79.802828035897605</v>
      </c>
      <c r="V42">
        <v>139.223169994138</v>
      </c>
      <c r="W42">
        <v>0.17297544519899699</v>
      </c>
      <c r="X42">
        <v>0.152364706883102</v>
      </c>
      <c r="Y42">
        <v>0.131755918637011</v>
      </c>
      <c r="AB42" s="42">
        <v>0.8</v>
      </c>
      <c r="AC42" s="49">
        <v>0.8</v>
      </c>
      <c r="AD42">
        <v>83.230699694335499</v>
      </c>
      <c r="AE42">
        <v>213.53032896325001</v>
      </c>
      <c r="AF42">
        <v>0.241636981532867</v>
      </c>
      <c r="AG42">
        <v>0.20448407457939899</v>
      </c>
      <c r="AH42">
        <v>0.17205484970716101</v>
      </c>
    </row>
    <row r="43" spans="1:34" x14ac:dyDescent="0.35">
      <c r="B43">
        <v>0.95899999999999996</v>
      </c>
      <c r="C43">
        <v>163.67498632009199</v>
      </c>
      <c r="D43">
        <v>394.12074135890202</v>
      </c>
      <c r="E43">
        <v>0.44175814484996601</v>
      </c>
      <c r="F43">
        <v>0.37756362992651799</v>
      </c>
      <c r="G43">
        <v>0.31775390781836699</v>
      </c>
      <c r="K43" s="49">
        <v>0.79500000000000004</v>
      </c>
      <c r="L43">
        <v>78.138042062614204</v>
      </c>
      <c r="M43">
        <v>142.96034044666001</v>
      </c>
      <c r="N43">
        <v>0.16371620904734999</v>
      </c>
      <c r="O43">
        <v>0.14315177690296699</v>
      </c>
      <c r="P43">
        <v>0.124267079366667</v>
      </c>
      <c r="T43">
        <v>0.79500000000000004</v>
      </c>
      <c r="U43">
        <v>75.758468084194703</v>
      </c>
      <c r="V43">
        <v>131.77338133406201</v>
      </c>
      <c r="W43">
        <v>0.164360403799685</v>
      </c>
      <c r="X43">
        <v>0.14482809817713899</v>
      </c>
      <c r="Y43">
        <v>0.12512355059262001</v>
      </c>
      <c r="AC43" s="49">
        <v>0.79500000000000004</v>
      </c>
      <c r="AD43">
        <v>79.394136291362898</v>
      </c>
      <c r="AE43">
        <v>205.19561391414001</v>
      </c>
      <c r="AF43">
        <v>0.23234533277433</v>
      </c>
      <c r="AG43">
        <v>0.19604496090213799</v>
      </c>
      <c r="AH43">
        <v>0.16481199293488399</v>
      </c>
    </row>
    <row r="44" spans="1:34" x14ac:dyDescent="0.35">
      <c r="B44">
        <v>0.95799999999999996</v>
      </c>
      <c r="C44">
        <v>158.70070273209899</v>
      </c>
      <c r="D44">
        <v>384.69330310299802</v>
      </c>
      <c r="E44">
        <v>0.43354858708664101</v>
      </c>
      <c r="F44">
        <v>0.36942257080961499</v>
      </c>
      <c r="G44">
        <v>0.31025331813691098</v>
      </c>
      <c r="K44" s="49">
        <v>0.79</v>
      </c>
      <c r="L44">
        <v>72.150505567121996</v>
      </c>
      <c r="M44">
        <v>132.81525140176899</v>
      </c>
      <c r="N44">
        <v>0.15269633451894701</v>
      </c>
      <c r="O44">
        <v>0.133062082013054</v>
      </c>
      <c r="P44">
        <v>0.11535252534984899</v>
      </c>
      <c r="T44">
        <v>0.79</v>
      </c>
      <c r="U44">
        <v>71.721257688739996</v>
      </c>
      <c r="V44">
        <v>124.327551709641</v>
      </c>
      <c r="W44">
        <v>0.15575247145264501</v>
      </c>
      <c r="X44">
        <v>0.13729719832526999</v>
      </c>
      <c r="Y44">
        <v>0.11849627846196401</v>
      </c>
      <c r="AC44" s="49">
        <v>0.79</v>
      </c>
      <c r="AD44">
        <v>75.557572888390496</v>
      </c>
      <c r="AE44">
        <v>196.86089886503001</v>
      </c>
      <c r="AF44">
        <v>0.22305368401579401</v>
      </c>
      <c r="AG44">
        <v>0.187605847224878</v>
      </c>
      <c r="AH44">
        <v>0.15756913616260701</v>
      </c>
    </row>
    <row r="45" spans="1:34" x14ac:dyDescent="0.35">
      <c r="B45">
        <v>0.95699999999999996</v>
      </c>
      <c r="C45">
        <v>154.10472693627599</v>
      </c>
      <c r="D45">
        <v>375.03530719357701</v>
      </c>
      <c r="E45">
        <v>0.425526874302322</v>
      </c>
      <c r="F45">
        <v>0.36134583632904099</v>
      </c>
      <c r="G45">
        <v>0.30255394558756799</v>
      </c>
      <c r="K45" s="49">
        <v>0.78500000000000003</v>
      </c>
      <c r="L45">
        <v>62.8767783896376</v>
      </c>
      <c r="M45">
        <v>116.910866739089</v>
      </c>
      <c r="N45">
        <v>0.135946573073258</v>
      </c>
      <c r="O45">
        <v>0.11786786683214601</v>
      </c>
      <c r="P45">
        <v>0.101660026038459</v>
      </c>
      <c r="T45">
        <v>0.78500000000000003</v>
      </c>
      <c r="U45">
        <v>67.684047293285104</v>
      </c>
      <c r="V45">
        <v>116.88172208522001</v>
      </c>
      <c r="W45">
        <v>0.14714453910560499</v>
      </c>
      <c r="X45">
        <v>0.12976629847340199</v>
      </c>
      <c r="Y45">
        <v>0.111869006331308</v>
      </c>
      <c r="AC45" s="49">
        <v>0.78500000000000003</v>
      </c>
      <c r="AD45">
        <v>71.721009485417994</v>
      </c>
      <c r="AE45">
        <v>188.526183815921</v>
      </c>
      <c r="AF45">
        <v>0.21376203525725701</v>
      </c>
      <c r="AG45">
        <v>0.179166733547618</v>
      </c>
      <c r="AH45">
        <v>0.15032627939033</v>
      </c>
    </row>
    <row r="46" spans="1:34" x14ac:dyDescent="0.35">
      <c r="B46">
        <v>0.95599999999999996</v>
      </c>
      <c r="C46">
        <v>150.00966141106301</v>
      </c>
      <c r="D46">
        <v>364.82418947833497</v>
      </c>
      <c r="E46">
        <v>0.41715074728229701</v>
      </c>
      <c r="F46">
        <v>0.35284602835009499</v>
      </c>
      <c r="G46">
        <v>0.29513045999798099</v>
      </c>
      <c r="J46">
        <v>0.78</v>
      </c>
      <c r="K46" s="49">
        <v>0.78</v>
      </c>
      <c r="L46">
        <v>53.603051212153197</v>
      </c>
      <c r="M46">
        <v>101.00648207640999</v>
      </c>
      <c r="N46">
        <v>0.11919681162757</v>
      </c>
      <c r="O46">
        <v>0.102673651651239</v>
      </c>
      <c r="P46">
        <v>8.7967526727069395E-2</v>
      </c>
      <c r="S46">
        <v>0.78</v>
      </c>
      <c r="T46">
        <v>0.78</v>
      </c>
      <c r="U46">
        <v>63.646836897830298</v>
      </c>
      <c r="V46">
        <v>109.435892460799</v>
      </c>
      <c r="W46">
        <v>0.138536606758564</v>
      </c>
      <c r="X46">
        <v>0.122235398621533</v>
      </c>
      <c r="Y46">
        <v>0.105241734200653</v>
      </c>
      <c r="AB46">
        <v>0.78</v>
      </c>
      <c r="AC46" s="49">
        <v>0.78</v>
      </c>
      <c r="AD46">
        <v>67.884446082445393</v>
      </c>
      <c r="AE46">
        <v>180.191468766811</v>
      </c>
      <c r="AF46">
        <v>0.20447038649872101</v>
      </c>
      <c r="AG46">
        <v>0.17072761987035701</v>
      </c>
      <c r="AH46">
        <v>0.14308342261805301</v>
      </c>
    </row>
    <row r="47" spans="1:34" x14ac:dyDescent="0.35">
      <c r="B47">
        <v>0.95499999999999996</v>
      </c>
      <c r="C47">
        <v>146.114467308489</v>
      </c>
      <c r="D47">
        <v>355.03844354392902</v>
      </c>
      <c r="E47">
        <v>0.40873199116312497</v>
      </c>
      <c r="F47">
        <v>0.34442631723867101</v>
      </c>
      <c r="G47">
        <v>0.28812093327365101</v>
      </c>
      <c r="K47" s="49">
        <v>0.77500000000000002</v>
      </c>
      <c r="L47">
        <v>44.329324034668701</v>
      </c>
      <c r="M47">
        <v>85.102097413730903</v>
      </c>
      <c r="N47">
        <v>0.10244705018188199</v>
      </c>
      <c r="O47">
        <v>8.7479436470330796E-2</v>
      </c>
      <c r="P47">
        <v>7.4275027415679706E-2</v>
      </c>
      <c r="T47">
        <v>0.77500000000000002</v>
      </c>
      <c r="U47">
        <v>59.609626502375498</v>
      </c>
      <c r="V47">
        <v>101.990062836378</v>
      </c>
      <c r="W47">
        <v>0.129928674411524</v>
      </c>
      <c r="X47">
        <v>0.114704498769665</v>
      </c>
      <c r="Y47">
        <v>9.86144620699968E-2</v>
      </c>
      <c r="AC47" s="49">
        <v>0.77500000000000002</v>
      </c>
      <c r="AD47">
        <v>64.047882679472906</v>
      </c>
      <c r="AE47">
        <v>171.856753717701</v>
      </c>
      <c r="AF47">
        <v>0.19517873774018399</v>
      </c>
      <c r="AG47">
        <v>0.16228850619309701</v>
      </c>
      <c r="AH47">
        <v>0.135840565845776</v>
      </c>
    </row>
    <row r="48" spans="1:34" x14ac:dyDescent="0.35">
      <c r="B48">
        <v>0.95399999999999996</v>
      </c>
      <c r="C48">
        <v>141.440776554221</v>
      </c>
      <c r="D48">
        <v>346.341124401375</v>
      </c>
      <c r="E48">
        <v>0.400580581114649</v>
      </c>
      <c r="F48">
        <v>0.33664194994377</v>
      </c>
      <c r="G48">
        <v>0.28043885519635198</v>
      </c>
      <c r="K48" s="49">
        <v>0.77</v>
      </c>
      <c r="L48">
        <v>37.527016040703103</v>
      </c>
      <c r="M48">
        <v>73.629574561239494</v>
      </c>
      <c r="N48">
        <v>9.1308592386271398E-2</v>
      </c>
      <c r="O48">
        <v>7.7436657991990496E-2</v>
      </c>
      <c r="P48">
        <v>6.5054750140366796E-2</v>
      </c>
      <c r="T48">
        <v>0.77</v>
      </c>
      <c r="U48">
        <v>55.586025603477303</v>
      </c>
      <c r="V48">
        <v>94.872391430906006</v>
      </c>
      <c r="W48">
        <v>0.122073066260675</v>
      </c>
      <c r="X48">
        <v>0.10763948579032399</v>
      </c>
      <c r="Y48">
        <v>9.2493219025864701E-2</v>
      </c>
      <c r="AC48" s="49">
        <v>0.77</v>
      </c>
      <c r="AD48">
        <v>60.211319276500397</v>
      </c>
      <c r="AE48">
        <v>163.52203866859099</v>
      </c>
      <c r="AF48">
        <v>0.18588708898164799</v>
      </c>
      <c r="AG48">
        <v>0.15384939251583599</v>
      </c>
      <c r="AH48">
        <v>0.12859770907349899</v>
      </c>
    </row>
    <row r="49" spans="1:34" x14ac:dyDescent="0.35">
      <c r="B49">
        <v>0.95299999999999996</v>
      </c>
      <c r="C49">
        <v>137.03454262413001</v>
      </c>
      <c r="D49">
        <v>338.61765071525599</v>
      </c>
      <c r="E49">
        <v>0.39303351376870499</v>
      </c>
      <c r="F49">
        <v>0.32963759096599599</v>
      </c>
      <c r="G49">
        <v>0.27283714172926599</v>
      </c>
      <c r="K49" s="49">
        <v>0.76500000000000001</v>
      </c>
      <c r="L49">
        <v>33.056824691243598</v>
      </c>
      <c r="M49">
        <v>66.339109840616501</v>
      </c>
      <c r="N49">
        <v>8.54651548474403E-2</v>
      </c>
      <c r="O49">
        <v>7.2254953408881495E-2</v>
      </c>
      <c r="P49">
        <v>6.0054616302401297E-2</v>
      </c>
      <c r="T49">
        <v>0.76500000000000001</v>
      </c>
      <c r="U49">
        <v>51.569429410622597</v>
      </c>
      <c r="V49">
        <v>87.923620605256204</v>
      </c>
      <c r="W49">
        <v>0.114604673744279</v>
      </c>
      <c r="X49">
        <v>0.10081426129823801</v>
      </c>
      <c r="Y49">
        <v>8.6632425366162599E-2</v>
      </c>
      <c r="AC49" s="49">
        <v>0.76500000000000001</v>
      </c>
      <c r="AD49">
        <v>56.121361526155198</v>
      </c>
      <c r="AE49">
        <v>153.300938097065</v>
      </c>
      <c r="AF49">
        <v>0.17606514583239799</v>
      </c>
      <c r="AG49">
        <v>0.145173060139968</v>
      </c>
      <c r="AH49">
        <v>0.120832251591735</v>
      </c>
    </row>
    <row r="50" spans="1:34" x14ac:dyDescent="0.35">
      <c r="B50">
        <v>0.95199999999999996</v>
      </c>
      <c r="C50">
        <v>133.52594716811601</v>
      </c>
      <c r="D50">
        <v>331.38823598823399</v>
      </c>
      <c r="E50">
        <v>0.38595799852421098</v>
      </c>
      <c r="F50">
        <v>0.32306992849512101</v>
      </c>
      <c r="G50">
        <v>0.26622030410780001</v>
      </c>
      <c r="J50">
        <v>0.76</v>
      </c>
      <c r="K50" s="49">
        <v>0.76</v>
      </c>
      <c r="L50">
        <v>28.586633341784101</v>
      </c>
      <c r="M50">
        <v>59.048645119993601</v>
      </c>
      <c r="N50">
        <v>7.9621717308609105E-2</v>
      </c>
      <c r="O50">
        <v>6.7073248825772494E-2</v>
      </c>
      <c r="P50">
        <v>5.5054482464435797E-2</v>
      </c>
      <c r="S50">
        <v>0.76</v>
      </c>
      <c r="T50">
        <v>0.76</v>
      </c>
      <c r="U50">
        <v>47.552833217767798</v>
      </c>
      <c r="V50">
        <v>80.974849779606302</v>
      </c>
      <c r="W50">
        <v>0.107136281227884</v>
      </c>
      <c r="X50">
        <v>9.3989036806151102E-2</v>
      </c>
      <c r="Y50">
        <v>8.0771631706460595E-2</v>
      </c>
      <c r="AB50">
        <v>0.76</v>
      </c>
      <c r="AC50" s="49">
        <v>0.76</v>
      </c>
      <c r="AD50">
        <v>51.973058608182598</v>
      </c>
      <c r="AE50">
        <v>142.64548892756801</v>
      </c>
      <c r="AF50">
        <v>0.16612110005758199</v>
      </c>
      <c r="AG50">
        <v>0.13644210711104299</v>
      </c>
      <c r="AH50">
        <v>0.112946462988486</v>
      </c>
    </row>
    <row r="51" spans="1:34" x14ac:dyDescent="0.35">
      <c r="B51">
        <v>0.95099999999999996</v>
      </c>
      <c r="C51">
        <v>131.30391767709401</v>
      </c>
      <c r="D51">
        <v>323.891564763698</v>
      </c>
      <c r="E51">
        <v>0.37865853395591498</v>
      </c>
      <c r="F51">
        <v>0.31617302107204198</v>
      </c>
      <c r="G51">
        <v>0.26146302235749203</v>
      </c>
      <c r="K51" s="49">
        <v>0.755</v>
      </c>
      <c r="L51">
        <v>24.116441992324699</v>
      </c>
      <c r="M51">
        <v>51.758180399370602</v>
      </c>
      <c r="N51">
        <v>7.3778279769777994E-2</v>
      </c>
      <c r="O51">
        <v>6.18915442426635E-2</v>
      </c>
      <c r="P51">
        <v>5.0054348626470402E-2</v>
      </c>
      <c r="T51">
        <v>0.755</v>
      </c>
      <c r="U51">
        <v>43.536237024913099</v>
      </c>
      <c r="V51">
        <v>74.0260789539565</v>
      </c>
      <c r="W51">
        <v>9.9667888711487601E-2</v>
      </c>
      <c r="X51">
        <v>8.7163812314064407E-2</v>
      </c>
      <c r="Y51">
        <v>7.4910838046758493E-2</v>
      </c>
      <c r="AC51" s="49">
        <v>0.755</v>
      </c>
      <c r="AD51">
        <v>47.824755690209997</v>
      </c>
      <c r="AE51">
        <v>131.99003975807</v>
      </c>
      <c r="AF51">
        <v>0.15617705428276599</v>
      </c>
      <c r="AG51">
        <v>0.127711154082117</v>
      </c>
      <c r="AH51">
        <v>0.105060674385237</v>
      </c>
    </row>
    <row r="52" spans="1:34" x14ac:dyDescent="0.35">
      <c r="A52">
        <v>0.95</v>
      </c>
      <c r="B52">
        <v>0.95</v>
      </c>
      <c r="C52">
        <v>129.62934598016599</v>
      </c>
      <c r="D52">
        <v>317.79070454184</v>
      </c>
      <c r="E52">
        <v>0.37232310603296298</v>
      </c>
      <c r="F52">
        <v>0.31038038690532199</v>
      </c>
      <c r="G52">
        <v>0.25774370999651702</v>
      </c>
      <c r="K52" s="49">
        <v>0.75</v>
      </c>
      <c r="L52">
        <v>21.4420372409405</v>
      </c>
      <c r="M52">
        <v>46.676180941433103</v>
      </c>
      <c r="N52">
        <v>6.7907992270970594E-2</v>
      </c>
      <c r="O52">
        <v>5.6631873913063797E-2</v>
      </c>
      <c r="P52">
        <v>4.56562530927003E-2</v>
      </c>
      <c r="T52">
        <v>0.75</v>
      </c>
      <c r="U52">
        <v>39.5196408320583</v>
      </c>
      <c r="V52">
        <v>67.077308128306697</v>
      </c>
      <c r="W52">
        <v>9.2199496195091601E-2</v>
      </c>
      <c r="X52">
        <v>8.0338587821977794E-2</v>
      </c>
      <c r="Y52">
        <v>6.9050044387056406E-2</v>
      </c>
      <c r="AC52" s="49">
        <v>0.75</v>
      </c>
      <c r="AD52">
        <v>43.676452772237397</v>
      </c>
      <c r="AE52">
        <v>121.334590588572</v>
      </c>
      <c r="AF52">
        <v>0.14623300850794901</v>
      </c>
      <c r="AG52">
        <v>0.118980201053192</v>
      </c>
      <c r="AH52">
        <v>9.7174885781987894E-2</v>
      </c>
    </row>
    <row r="53" spans="1:34" x14ac:dyDescent="0.35">
      <c r="B53">
        <v>0.94899999999999995</v>
      </c>
      <c r="C53">
        <v>127.408342844572</v>
      </c>
      <c r="D53">
        <v>313.06132284967202</v>
      </c>
      <c r="E53">
        <v>0.36705746064378902</v>
      </c>
      <c r="F53">
        <v>0.30583015661117602</v>
      </c>
      <c r="G53">
        <v>0.25294901050144403</v>
      </c>
      <c r="K53" s="49">
        <v>0.745</v>
      </c>
      <c r="L53">
        <v>19.727726002704198</v>
      </c>
      <c r="M53">
        <v>42.774908177296098</v>
      </c>
      <c r="N53">
        <v>6.20233497967842E-2</v>
      </c>
      <c r="O53">
        <v>5.1330520230033497E-2</v>
      </c>
      <c r="P53">
        <v>4.1580029362152403E-2</v>
      </c>
      <c r="T53">
        <v>0.745</v>
      </c>
      <c r="U53">
        <v>36.609251808388301</v>
      </c>
      <c r="V53">
        <v>62.449777427946998</v>
      </c>
      <c r="W53">
        <v>8.6882206598577802E-2</v>
      </c>
      <c r="X53">
        <v>7.5464739842620199E-2</v>
      </c>
      <c r="Y53">
        <v>6.4698219984234195E-2</v>
      </c>
      <c r="AC53" s="49">
        <v>0.745</v>
      </c>
      <c r="AD53">
        <v>39.528149854264797</v>
      </c>
      <c r="AE53">
        <v>110.679141419074</v>
      </c>
      <c r="AF53">
        <v>0.13628896273313301</v>
      </c>
      <c r="AG53">
        <v>0.110249248024266</v>
      </c>
      <c r="AH53">
        <v>8.9289097178738897E-2</v>
      </c>
    </row>
    <row r="54" spans="1:34" x14ac:dyDescent="0.35">
      <c r="B54">
        <v>0.94799999999999995</v>
      </c>
      <c r="C54">
        <v>125.57213507588899</v>
      </c>
      <c r="D54">
        <v>309.41851886477701</v>
      </c>
      <c r="E54">
        <v>0.36269348058459799</v>
      </c>
      <c r="F54">
        <v>0.30231466829732301</v>
      </c>
      <c r="G54">
        <v>0.248301716092729</v>
      </c>
      <c r="J54">
        <v>0.74</v>
      </c>
      <c r="K54" s="49">
        <v>0.74</v>
      </c>
      <c r="L54">
        <v>18.013414764467999</v>
      </c>
      <c r="M54">
        <v>38.873635413159199</v>
      </c>
      <c r="N54">
        <v>5.6138707322597799E-2</v>
      </c>
      <c r="O54">
        <v>4.60291665470033E-2</v>
      </c>
      <c r="P54">
        <v>3.7503805631604402E-2</v>
      </c>
      <c r="S54">
        <v>0.74</v>
      </c>
      <c r="T54">
        <v>0.74</v>
      </c>
      <c r="U54">
        <v>34.240857488685599</v>
      </c>
      <c r="V54">
        <v>58.959556166171801</v>
      </c>
      <c r="W54">
        <v>8.2618866409319994E-2</v>
      </c>
      <c r="X54">
        <v>7.1546983782396406E-2</v>
      </c>
      <c r="Y54">
        <v>6.1085726665553397E-2</v>
      </c>
      <c r="AB54">
        <v>0.74</v>
      </c>
      <c r="AC54" s="49">
        <v>0.74</v>
      </c>
      <c r="AD54">
        <v>35.379846936292203</v>
      </c>
      <c r="AE54">
        <v>100.023692249576</v>
      </c>
      <c r="AF54">
        <v>0.12634491695831601</v>
      </c>
      <c r="AG54">
        <v>0.101518294995341</v>
      </c>
      <c r="AH54">
        <v>8.1403308575489802E-2</v>
      </c>
    </row>
    <row r="55" spans="1:34" x14ac:dyDescent="0.35">
      <c r="B55">
        <v>0.94699999999999995</v>
      </c>
      <c r="C55">
        <v>124.473313091493</v>
      </c>
      <c r="D55">
        <v>306.65051631106098</v>
      </c>
      <c r="E55">
        <v>0.35908273320364098</v>
      </c>
      <c r="F55">
        <v>0.29956188388238902</v>
      </c>
      <c r="G55">
        <v>0.244711139263839</v>
      </c>
      <c r="K55" s="49">
        <v>0.73499999999999999</v>
      </c>
      <c r="L55">
        <v>16.2991035262318</v>
      </c>
      <c r="M55">
        <v>34.972362649022301</v>
      </c>
      <c r="N55">
        <v>5.0254064848411398E-2</v>
      </c>
      <c r="O55">
        <v>4.0727812863972999E-2</v>
      </c>
      <c r="P55">
        <v>3.3427581901056401E-2</v>
      </c>
      <c r="T55">
        <v>0.73499999999999999</v>
      </c>
      <c r="U55">
        <v>31.872463168982801</v>
      </c>
      <c r="V55">
        <v>55.469334904396597</v>
      </c>
      <c r="W55">
        <v>7.8355526220062297E-2</v>
      </c>
      <c r="X55">
        <v>6.7629227722172502E-2</v>
      </c>
      <c r="Y55">
        <v>5.7473233346872703E-2</v>
      </c>
      <c r="AC55" s="49">
        <v>0.73499999999999999</v>
      </c>
      <c r="AD55">
        <v>31.5449280470418</v>
      </c>
      <c r="AE55">
        <v>90.158582587077305</v>
      </c>
      <c r="AF55">
        <v>0.116958122428477</v>
      </c>
      <c r="AG55">
        <v>9.33361698137848E-2</v>
      </c>
      <c r="AH55">
        <v>7.4053140856298799E-2</v>
      </c>
    </row>
    <row r="56" spans="1:34" x14ac:dyDescent="0.35">
      <c r="B56">
        <v>0.94599999999999995</v>
      </c>
      <c r="C56">
        <v>123.191848698348</v>
      </c>
      <c r="D56">
        <v>303.52636774732298</v>
      </c>
      <c r="E56">
        <v>0.35495519094240802</v>
      </c>
      <c r="F56">
        <v>0.296321082535556</v>
      </c>
      <c r="G56">
        <v>0.24183828409706201</v>
      </c>
      <c r="K56" s="49">
        <v>0.73</v>
      </c>
      <c r="L56">
        <v>14.956673520100701</v>
      </c>
      <c r="M56">
        <v>32.419250547886698</v>
      </c>
      <c r="N56">
        <v>4.7570988430529301E-2</v>
      </c>
      <c r="O56">
        <v>3.8782895184434202E-2</v>
      </c>
      <c r="P56">
        <v>3.17304924559332E-2</v>
      </c>
      <c r="T56">
        <v>0.73</v>
      </c>
      <c r="U56">
        <v>29.504068849280099</v>
      </c>
      <c r="V56">
        <v>51.979113642621499</v>
      </c>
      <c r="W56">
        <v>7.4092186030804599E-2</v>
      </c>
      <c r="X56">
        <v>6.3711471661948696E-2</v>
      </c>
      <c r="Y56">
        <v>5.3860740028191897E-2</v>
      </c>
      <c r="AC56" s="49">
        <v>0.73</v>
      </c>
      <c r="AD56">
        <v>29.897295642332001</v>
      </c>
      <c r="AE56">
        <v>85.809704651212101</v>
      </c>
      <c r="AF56">
        <v>0.111460703249394</v>
      </c>
      <c r="AG56">
        <v>8.8984628270414395E-2</v>
      </c>
      <c r="AH56">
        <v>7.0441377820061907E-2</v>
      </c>
    </row>
    <row r="57" spans="1:34" x14ac:dyDescent="0.35">
      <c r="B57">
        <v>0.94499999999999995</v>
      </c>
      <c r="C57">
        <v>121.1745691279</v>
      </c>
      <c r="D57">
        <v>300.425846714111</v>
      </c>
      <c r="E57">
        <v>0.35067221986790298</v>
      </c>
      <c r="F57">
        <v>0.293061429507462</v>
      </c>
      <c r="G57">
        <v>0.238039376785042</v>
      </c>
      <c r="K57" s="49">
        <v>0.72499999999999998</v>
      </c>
      <c r="L57">
        <v>13.6229202353082</v>
      </c>
      <c r="M57">
        <v>29.897593689400001</v>
      </c>
      <c r="N57">
        <v>4.49626108522743E-2</v>
      </c>
      <c r="O57">
        <v>3.6916289765312402E-2</v>
      </c>
      <c r="P57">
        <v>3.0088912897944201E-2</v>
      </c>
      <c r="T57">
        <v>0.72499999999999998</v>
      </c>
      <c r="U57">
        <v>27.1356745295774</v>
      </c>
      <c r="V57">
        <v>48.488892380846302</v>
      </c>
      <c r="W57">
        <v>6.9828845841546805E-2</v>
      </c>
      <c r="X57">
        <v>5.9793715601724903E-2</v>
      </c>
      <c r="Y57">
        <v>5.0248246709511203E-2</v>
      </c>
      <c r="AC57" s="49">
        <v>0.72499999999999998</v>
      </c>
      <c r="AD57">
        <v>28.249663237622201</v>
      </c>
      <c r="AE57">
        <v>81.460826715346798</v>
      </c>
      <c r="AF57">
        <v>0.105963284070311</v>
      </c>
      <c r="AG57">
        <v>8.4633086727044005E-2</v>
      </c>
      <c r="AH57">
        <v>6.6829614783825E-2</v>
      </c>
    </row>
    <row r="58" spans="1:34" x14ac:dyDescent="0.35">
      <c r="B58">
        <v>0.94399999999999995</v>
      </c>
      <c r="C58">
        <v>119.186288732051</v>
      </c>
      <c r="D58">
        <v>296.174622584232</v>
      </c>
      <c r="E58">
        <v>0.345548772426089</v>
      </c>
      <c r="F58">
        <v>0.28894417545247097</v>
      </c>
      <c r="G58">
        <v>0.233977291790467</v>
      </c>
      <c r="J58">
        <v>0.72</v>
      </c>
      <c r="K58" s="49">
        <v>0.72</v>
      </c>
      <c r="L58">
        <v>12.2891669505157</v>
      </c>
      <c r="M58">
        <v>27.3759368309133</v>
      </c>
      <c r="N58">
        <v>4.2354233274019402E-2</v>
      </c>
      <c r="O58">
        <v>3.5049684346190497E-2</v>
      </c>
      <c r="P58">
        <v>2.8447333339955298E-2</v>
      </c>
      <c r="S58">
        <v>0.72</v>
      </c>
      <c r="T58">
        <v>0.72</v>
      </c>
      <c r="U58">
        <v>25.182576050684201</v>
      </c>
      <c r="V58">
        <v>45.911641117969502</v>
      </c>
      <c r="W58">
        <v>6.6766139139529695E-2</v>
      </c>
      <c r="X58">
        <v>5.70724485831633E-2</v>
      </c>
      <c r="Y58">
        <v>4.7867763086968801E-2</v>
      </c>
      <c r="AB58">
        <v>0.72</v>
      </c>
      <c r="AC58" s="49">
        <v>0.72</v>
      </c>
      <c r="AD58">
        <v>26.602030832912401</v>
      </c>
      <c r="AE58">
        <v>77.111948779481494</v>
      </c>
      <c r="AF58">
        <v>0.100465864891227</v>
      </c>
      <c r="AG58">
        <v>8.0281545183673697E-2</v>
      </c>
      <c r="AH58">
        <v>6.3217851747588205E-2</v>
      </c>
    </row>
    <row r="59" spans="1:34" x14ac:dyDescent="0.35">
      <c r="B59">
        <v>0.94299999999999995</v>
      </c>
      <c r="C59">
        <v>118.18148966130801</v>
      </c>
      <c r="D59">
        <v>292.43856831468901</v>
      </c>
      <c r="E59">
        <v>0.34115710703774099</v>
      </c>
      <c r="F59">
        <v>0.28534939841609802</v>
      </c>
      <c r="G59">
        <v>0.23083186162209801</v>
      </c>
      <c r="K59" s="49">
        <v>0.71499999999999997</v>
      </c>
      <c r="L59">
        <v>10.633391097171099</v>
      </c>
      <c r="M59">
        <v>24.159476614886199</v>
      </c>
      <c r="N59">
        <v>3.8671766161010299E-2</v>
      </c>
      <c r="O59">
        <v>3.1985717741000001E-2</v>
      </c>
      <c r="P59">
        <v>2.5596976236642401E-2</v>
      </c>
      <c r="T59">
        <v>0.71499999999999997</v>
      </c>
      <c r="U59">
        <v>23.232009608730099</v>
      </c>
      <c r="V59">
        <v>43.339956185246699</v>
      </c>
      <c r="W59">
        <v>6.3710752636853094E-2</v>
      </c>
      <c r="X59">
        <v>5.43584764954754E-2</v>
      </c>
      <c r="Y59">
        <v>4.5494790962865503E-2</v>
      </c>
      <c r="AC59" s="49">
        <v>0.71499999999999997</v>
      </c>
      <c r="AD59">
        <v>24.954398428202602</v>
      </c>
      <c r="AE59">
        <v>72.763070843616305</v>
      </c>
      <c r="AF59">
        <v>9.4968445712144106E-2</v>
      </c>
      <c r="AG59">
        <v>7.5930003640303306E-2</v>
      </c>
      <c r="AH59">
        <v>5.9606088711351299E-2</v>
      </c>
    </row>
    <row r="60" spans="1:34" x14ac:dyDescent="0.35">
      <c r="B60">
        <v>0.94199999999999995</v>
      </c>
      <c r="C60">
        <v>116.594429310021</v>
      </c>
      <c r="D60">
        <v>286.832394353545</v>
      </c>
      <c r="E60">
        <v>0.33511849635628199</v>
      </c>
      <c r="F60">
        <v>0.28006197205338501</v>
      </c>
      <c r="G60">
        <v>0.22715091499160101</v>
      </c>
      <c r="K60" s="49">
        <v>0.71</v>
      </c>
      <c r="L60">
        <v>8.6255837902072905</v>
      </c>
      <c r="M60">
        <v>20.183465175371499</v>
      </c>
      <c r="N60">
        <v>3.3815116437332898E-2</v>
      </c>
      <c r="O60">
        <v>2.7612809341033599E-2</v>
      </c>
      <c r="P60">
        <v>2.1425197102892701E-2</v>
      </c>
      <c r="T60">
        <v>0.71</v>
      </c>
      <c r="U60">
        <v>21.2814431667761</v>
      </c>
      <c r="V60">
        <v>40.768271252523903</v>
      </c>
      <c r="W60">
        <v>6.0655366134176603E-2</v>
      </c>
      <c r="X60">
        <v>5.1644504407787402E-2</v>
      </c>
      <c r="Y60">
        <v>4.3121818838762198E-2</v>
      </c>
      <c r="AC60" s="49">
        <v>0.71</v>
      </c>
      <c r="AD60">
        <v>23.306766023492901</v>
      </c>
      <c r="AE60">
        <v>68.414192907751001</v>
      </c>
      <c r="AF60">
        <v>8.9471026533060799E-2</v>
      </c>
      <c r="AG60">
        <v>7.1578462096932902E-2</v>
      </c>
      <c r="AH60">
        <v>5.5994325675114399E-2</v>
      </c>
    </row>
    <row r="61" spans="1:34" x14ac:dyDescent="0.35">
      <c r="B61">
        <v>0.94099999999999995</v>
      </c>
      <c r="C61">
        <v>113.620485370585</v>
      </c>
      <c r="D61">
        <v>280.87640724284699</v>
      </c>
      <c r="E61">
        <v>0.32872975506940699</v>
      </c>
      <c r="F61">
        <v>0.27449088371830999</v>
      </c>
      <c r="G61">
        <v>0.222115427513427</v>
      </c>
      <c r="K61" s="49">
        <v>0.70499999999999996</v>
      </c>
      <c r="L61">
        <v>6.6177764832435297</v>
      </c>
      <c r="M61">
        <v>16.207453735856902</v>
      </c>
      <c r="N61">
        <v>2.8958466713655599E-2</v>
      </c>
      <c r="O61">
        <v>2.3239900941067201E-2</v>
      </c>
      <c r="P61">
        <v>1.7253417969143099E-2</v>
      </c>
      <c r="T61">
        <v>0.70499999999999996</v>
      </c>
      <c r="U61">
        <v>19.330876724822101</v>
      </c>
      <c r="V61">
        <v>38.196586319801199</v>
      </c>
      <c r="W61">
        <v>5.7599979631500098E-2</v>
      </c>
      <c r="X61">
        <v>4.8930532320099397E-2</v>
      </c>
      <c r="Y61">
        <v>4.0748846714658997E-2</v>
      </c>
      <c r="AC61" s="49">
        <v>0.70499999999999996</v>
      </c>
      <c r="AD61">
        <v>21.659133618783098</v>
      </c>
      <c r="AE61">
        <v>64.065314971885797</v>
      </c>
      <c r="AF61">
        <v>8.3973607353977603E-2</v>
      </c>
      <c r="AG61">
        <v>6.7226920553562594E-2</v>
      </c>
      <c r="AH61">
        <v>5.2382562638877597E-2</v>
      </c>
    </row>
    <row r="62" spans="1:34" x14ac:dyDescent="0.35">
      <c r="A62">
        <v>0.94</v>
      </c>
      <c r="B62">
        <v>0.94</v>
      </c>
      <c r="C62">
        <v>110.030394943433</v>
      </c>
      <c r="D62">
        <v>275.04976708317298</v>
      </c>
      <c r="E62">
        <v>0.32239446926727899</v>
      </c>
      <c r="F62">
        <v>0.26906348614498798</v>
      </c>
      <c r="G62">
        <v>0.21654264820045699</v>
      </c>
      <c r="J62" s="42">
        <v>0.7</v>
      </c>
      <c r="K62" s="49">
        <v>0.7</v>
      </c>
      <c r="L62">
        <v>4.8139788724973602</v>
      </c>
      <c r="M62">
        <v>12.6249170195816</v>
      </c>
      <c r="N62">
        <v>2.43904113472421E-2</v>
      </c>
      <c r="O62">
        <v>1.9140399313220501E-2</v>
      </c>
      <c r="P62">
        <v>1.34317763785133E-2</v>
      </c>
      <c r="S62" s="42">
        <v>0.7</v>
      </c>
      <c r="T62">
        <v>0.7</v>
      </c>
      <c r="U62">
        <v>18.0760156122696</v>
      </c>
      <c r="V62">
        <v>35.970474321841202</v>
      </c>
      <c r="W62">
        <v>5.4494695853950101E-2</v>
      </c>
      <c r="X62">
        <v>4.6272858950088203E-2</v>
      </c>
      <c r="Y62">
        <v>3.8686560173878497E-2</v>
      </c>
      <c r="AB62" s="42">
        <v>0.7</v>
      </c>
      <c r="AC62" s="49">
        <v>0.7</v>
      </c>
      <c r="AD62">
        <v>20.0304284748381</v>
      </c>
      <c r="AE62">
        <v>59.796452916689802</v>
      </c>
      <c r="AF62">
        <v>7.8887934696585005E-2</v>
      </c>
      <c r="AG62">
        <v>6.2638512814709696E-2</v>
      </c>
      <c r="AH62">
        <v>4.84859188662186E-2</v>
      </c>
    </row>
    <row r="63" spans="1:34" x14ac:dyDescent="0.35">
      <c r="B63">
        <v>0.93899999999999995</v>
      </c>
      <c r="C63">
        <v>106.59616885799601</v>
      </c>
      <c r="D63">
        <v>268.80332480959203</v>
      </c>
      <c r="E63">
        <v>0.31591518751002001</v>
      </c>
      <c r="F63">
        <v>0.263299622438248</v>
      </c>
      <c r="G63">
        <v>0.211270830703643</v>
      </c>
      <c r="K63" s="49">
        <v>0.69499999999999995</v>
      </c>
      <c r="L63">
        <v>4.2524334130996904</v>
      </c>
      <c r="M63">
        <v>11.438319469472299</v>
      </c>
      <c r="N63">
        <v>2.1579659519949598E-2</v>
      </c>
      <c r="O63">
        <v>1.6705721255802199E-2</v>
      </c>
      <c r="P63">
        <v>1.17421859809045E-2</v>
      </c>
      <c r="T63">
        <v>0.69499999999999995</v>
      </c>
      <c r="U63">
        <v>17.2846103043113</v>
      </c>
      <c r="V63">
        <v>33.974571545742798</v>
      </c>
      <c r="W63">
        <v>5.1356172167639602E-2</v>
      </c>
      <c r="X63">
        <v>4.3652689917611801E-2</v>
      </c>
      <c r="Y63">
        <v>3.6831242059110599E-2</v>
      </c>
      <c r="AC63" s="49">
        <v>0.69499999999999995</v>
      </c>
      <c r="AD63">
        <v>18.4018165311522</v>
      </c>
      <c r="AE63">
        <v>55.5279848699506</v>
      </c>
      <c r="AF63">
        <v>7.3804289531862896E-2</v>
      </c>
      <c r="AG63">
        <v>5.8048938716337498E-2</v>
      </c>
      <c r="AH63">
        <v>4.4587872304283897E-2</v>
      </c>
    </row>
    <row r="64" spans="1:34" x14ac:dyDescent="0.35">
      <c r="B64">
        <v>0.93799999999999994</v>
      </c>
      <c r="C64">
        <v>103.483752652531</v>
      </c>
      <c r="D64">
        <v>261.73922004223698</v>
      </c>
      <c r="E64">
        <v>0.30889225017944799</v>
      </c>
      <c r="F64">
        <v>0.25677661713334499</v>
      </c>
      <c r="G64">
        <v>0.20632009969325399</v>
      </c>
      <c r="K64" s="49">
        <v>0.69</v>
      </c>
      <c r="L64">
        <v>3.6908879537019899</v>
      </c>
      <c r="M64">
        <v>10.251721919363099</v>
      </c>
      <c r="N64">
        <v>1.8768907692656898E-2</v>
      </c>
      <c r="O64">
        <v>1.4271043198383701E-2</v>
      </c>
      <c r="P64">
        <v>1.00525955832956E-2</v>
      </c>
      <c r="T64">
        <v>0.69</v>
      </c>
      <c r="U64">
        <v>16.493204996352901</v>
      </c>
      <c r="V64">
        <v>31.978668769644202</v>
      </c>
      <c r="W64">
        <v>4.8217648481328999E-2</v>
      </c>
      <c r="X64">
        <v>4.1032520885135197E-2</v>
      </c>
      <c r="Y64">
        <v>3.4975923944342603E-2</v>
      </c>
      <c r="AC64" s="49">
        <v>0.69</v>
      </c>
      <c r="AD64">
        <v>16.7732045874662</v>
      </c>
      <c r="AE64">
        <v>51.2595168232112</v>
      </c>
      <c r="AF64">
        <v>6.8720644367140593E-2</v>
      </c>
      <c r="AG64">
        <v>5.3459364617965098E-2</v>
      </c>
      <c r="AH64">
        <v>4.0689825742349001E-2</v>
      </c>
    </row>
    <row r="65" spans="1:34" x14ac:dyDescent="0.35">
      <c r="B65">
        <v>0.93700000000000006</v>
      </c>
      <c r="C65">
        <v>100.014270260011</v>
      </c>
      <c r="D65">
        <v>254.87787386813301</v>
      </c>
      <c r="E65">
        <v>0.30223375739859798</v>
      </c>
      <c r="F65">
        <v>0.25044958202457002</v>
      </c>
      <c r="G65">
        <v>0.20119087020874199</v>
      </c>
      <c r="K65" s="49">
        <v>0.68500000000000005</v>
      </c>
      <c r="L65">
        <v>3.12934249430432</v>
      </c>
      <c r="M65">
        <v>9.0651243692538195</v>
      </c>
      <c r="N65">
        <v>1.59581558653644E-2</v>
      </c>
      <c r="O65">
        <v>1.18363651409653E-2</v>
      </c>
      <c r="P65">
        <v>8.3630051856868493E-3</v>
      </c>
      <c r="T65">
        <v>0.68500000000000005</v>
      </c>
      <c r="U65">
        <v>15.701799688394701</v>
      </c>
      <c r="V65">
        <v>29.982765993545801</v>
      </c>
      <c r="W65">
        <v>4.5079124795018501E-2</v>
      </c>
      <c r="X65">
        <v>3.8412351852658802E-2</v>
      </c>
      <c r="Y65">
        <v>3.3120605829574601E-2</v>
      </c>
      <c r="AC65" s="49">
        <v>0.68500000000000005</v>
      </c>
      <c r="AD65">
        <v>15.1445926437803</v>
      </c>
      <c r="AE65">
        <v>46.991048776472098</v>
      </c>
      <c r="AF65">
        <v>6.3636999202418595E-2</v>
      </c>
      <c r="AG65">
        <v>4.88697905195929E-2</v>
      </c>
      <c r="AH65">
        <v>3.6791779180414201E-2</v>
      </c>
    </row>
    <row r="66" spans="1:34" x14ac:dyDescent="0.35">
      <c r="B66">
        <v>0.93600000000000005</v>
      </c>
      <c r="C66">
        <v>96.453399083226799</v>
      </c>
      <c r="D66">
        <v>248.63272604655199</v>
      </c>
      <c r="E66">
        <v>0.29617895668295402</v>
      </c>
      <c r="F66">
        <v>0.24471509932390101</v>
      </c>
      <c r="G66">
        <v>0.196134784431715</v>
      </c>
      <c r="J66">
        <v>0.68</v>
      </c>
      <c r="K66" s="49">
        <v>0.68</v>
      </c>
      <c r="L66">
        <v>2.4755338178427899</v>
      </c>
      <c r="M66">
        <v>7.1864319231962996</v>
      </c>
      <c r="N66">
        <v>1.3256538369237601E-2</v>
      </c>
      <c r="O66">
        <v>9.6214867072607797E-3</v>
      </c>
      <c r="P66">
        <v>6.7526710315890196E-3</v>
      </c>
      <c r="S66">
        <v>0.68</v>
      </c>
      <c r="T66">
        <v>0.68</v>
      </c>
      <c r="U66">
        <v>14.472648584713101</v>
      </c>
      <c r="V66">
        <v>27.159594760679902</v>
      </c>
      <c r="W66">
        <v>4.1142719999876801E-2</v>
      </c>
      <c r="X66">
        <v>3.50640324242215E-2</v>
      </c>
      <c r="Y66">
        <v>3.0290776705062701E-2</v>
      </c>
      <c r="AB66">
        <v>0.68</v>
      </c>
      <c r="AC66" s="49">
        <v>0.68</v>
      </c>
      <c r="AD66">
        <v>13.5159807000943</v>
      </c>
      <c r="AE66">
        <v>42.722580729732698</v>
      </c>
      <c r="AF66">
        <v>5.8553354037696299E-2</v>
      </c>
      <c r="AG66">
        <v>4.4280216421220597E-2</v>
      </c>
      <c r="AH66">
        <v>3.2893732618479297E-2</v>
      </c>
    </row>
    <row r="67" spans="1:34" x14ac:dyDescent="0.35">
      <c r="B67">
        <v>0.93500000000000005</v>
      </c>
      <c r="C67">
        <v>93.421579088933598</v>
      </c>
      <c r="D67">
        <v>242.74669786581899</v>
      </c>
      <c r="E67">
        <v>0.290399333810335</v>
      </c>
      <c r="F67">
        <v>0.23932709839184599</v>
      </c>
      <c r="G67">
        <v>0.19169557056769401</v>
      </c>
      <c r="K67" s="49">
        <v>0.67500000000000004</v>
      </c>
      <c r="L67">
        <v>1.81748073615289</v>
      </c>
      <c r="M67">
        <v>5.2759008822100997</v>
      </c>
      <c r="N67">
        <v>1.05599414039416E-2</v>
      </c>
      <c r="O67">
        <v>7.4167197643734599E-3</v>
      </c>
      <c r="P67">
        <v>5.1459829200318202E-3</v>
      </c>
      <c r="T67">
        <v>0.67500000000000004</v>
      </c>
      <c r="U67">
        <v>12.7396114669907</v>
      </c>
      <c r="V67">
        <v>23.3841608006902</v>
      </c>
      <c r="W67">
        <v>3.6287880040913101E-2</v>
      </c>
      <c r="X67">
        <v>3.0877544350356501E-2</v>
      </c>
      <c r="Y67">
        <v>2.6339195017450599E-2</v>
      </c>
      <c r="AC67" s="49">
        <v>0.67500000000000004</v>
      </c>
      <c r="AD67">
        <v>12.01661866207</v>
      </c>
      <c r="AE67">
        <v>38.7506567502869</v>
      </c>
      <c r="AF67">
        <v>5.3554942916922497E-2</v>
      </c>
      <c r="AG67">
        <v>3.9929600505964301E-2</v>
      </c>
      <c r="AH67">
        <v>2.9375422507858299E-2</v>
      </c>
    </row>
    <row r="68" spans="1:34" x14ac:dyDescent="0.35">
      <c r="B68">
        <v>0.93400000000000005</v>
      </c>
      <c r="C68">
        <v>90.673604805751097</v>
      </c>
      <c r="D68">
        <v>237.90680098908101</v>
      </c>
      <c r="E68">
        <v>0.28555795150132601</v>
      </c>
      <c r="F68">
        <v>0.23486425882442</v>
      </c>
      <c r="G68">
        <v>0.18765455180502499</v>
      </c>
      <c r="K68" s="49">
        <v>0.67</v>
      </c>
      <c r="L68">
        <v>1.15942765446296</v>
      </c>
      <c r="M68">
        <v>3.36536984122381</v>
      </c>
      <c r="N68">
        <v>7.8633444386454407E-3</v>
      </c>
      <c r="O68">
        <v>5.21195282148603E-3</v>
      </c>
      <c r="P68">
        <v>3.53929480847454E-3</v>
      </c>
      <c r="T68">
        <v>0.67</v>
      </c>
      <c r="U68">
        <v>11.006574349268099</v>
      </c>
      <c r="V68">
        <v>19.608726840700399</v>
      </c>
      <c r="W68">
        <v>3.1433040081949103E-2</v>
      </c>
      <c r="X68">
        <v>2.66910562764913E-2</v>
      </c>
      <c r="Y68">
        <v>2.23876133298383E-2</v>
      </c>
      <c r="AC68" s="49">
        <v>0.67</v>
      </c>
      <c r="AD68">
        <v>10.7517835426496</v>
      </c>
      <c r="AE68">
        <v>35.316818783179798</v>
      </c>
      <c r="AF68">
        <v>4.8711190924021902E-2</v>
      </c>
      <c r="AG68">
        <v>3.6012579695281099E-2</v>
      </c>
      <c r="AH68">
        <v>2.6546152898678E-2</v>
      </c>
    </row>
    <row r="69" spans="1:34" x14ac:dyDescent="0.35">
      <c r="B69">
        <v>0.93300000000000005</v>
      </c>
      <c r="C69">
        <v>87.553500490707407</v>
      </c>
      <c r="D69">
        <v>233.23429030565799</v>
      </c>
      <c r="E69">
        <v>0.28095131309926102</v>
      </c>
      <c r="F69">
        <v>0.23056105849959199</v>
      </c>
      <c r="G69">
        <v>0.18335817610799901</v>
      </c>
      <c r="K69" s="49">
        <v>0.66500000000000004</v>
      </c>
      <c r="L69">
        <v>0</v>
      </c>
      <c r="M69">
        <v>0</v>
      </c>
      <c r="N69">
        <v>0</v>
      </c>
      <c r="O69">
        <v>0</v>
      </c>
      <c r="P69">
        <v>0</v>
      </c>
      <c r="T69">
        <v>0.66500000000000004</v>
      </c>
      <c r="U69">
        <v>9.2735372315456992</v>
      </c>
      <c r="V69">
        <v>15.8332928807108</v>
      </c>
      <c r="W69">
        <v>2.6578200122985399E-2</v>
      </c>
      <c r="X69">
        <v>2.25045682026263E-2</v>
      </c>
      <c r="Y69">
        <v>1.8436031642226201E-2</v>
      </c>
      <c r="AC69" s="49">
        <v>0.66500000000000004</v>
      </c>
      <c r="AD69">
        <v>9.48694842322924</v>
      </c>
      <c r="AE69">
        <v>31.882980816072799</v>
      </c>
      <c r="AF69">
        <v>4.3867438931121598E-2</v>
      </c>
      <c r="AG69">
        <v>3.2095558884598099E-2</v>
      </c>
      <c r="AH69">
        <v>2.3716883289497899E-2</v>
      </c>
    </row>
    <row r="70" spans="1:34" x14ac:dyDescent="0.35">
      <c r="B70">
        <v>0.93200000000000005</v>
      </c>
      <c r="C70">
        <v>84.674234927300702</v>
      </c>
      <c r="D70">
        <v>228.105160793191</v>
      </c>
      <c r="E70">
        <v>0.27602190274813998</v>
      </c>
      <c r="F70">
        <v>0.22596050559102801</v>
      </c>
      <c r="G70">
        <v>0.17951632001560999</v>
      </c>
      <c r="J70">
        <v>0.66</v>
      </c>
      <c r="K70" s="49">
        <v>0.66</v>
      </c>
      <c r="L70">
        <v>0</v>
      </c>
      <c r="M70">
        <v>0</v>
      </c>
      <c r="N70">
        <v>0</v>
      </c>
      <c r="O70">
        <v>0</v>
      </c>
      <c r="P70">
        <v>0</v>
      </c>
      <c r="S70">
        <v>0.66</v>
      </c>
      <c r="T70">
        <v>0.66</v>
      </c>
      <c r="U70">
        <v>7.6010836754630704</v>
      </c>
      <c r="V70">
        <v>12.809085380562999</v>
      </c>
      <c r="W70">
        <v>2.25325108090473E-2</v>
      </c>
      <c r="X70">
        <v>1.89244251256524E-2</v>
      </c>
      <c r="Y70">
        <v>1.51614005473036E-2</v>
      </c>
      <c r="AB70">
        <v>0.66</v>
      </c>
      <c r="AC70" s="49">
        <v>0.66</v>
      </c>
      <c r="AD70">
        <v>8.2221133038088592</v>
      </c>
      <c r="AE70">
        <v>28.4491428489657</v>
      </c>
      <c r="AF70">
        <v>3.9023686938221003E-2</v>
      </c>
      <c r="AG70">
        <v>2.8178538073914999E-2</v>
      </c>
      <c r="AH70">
        <v>2.08876136803176E-2</v>
      </c>
    </row>
    <row r="71" spans="1:34" x14ac:dyDescent="0.35">
      <c r="B71">
        <v>0.93100000000000005</v>
      </c>
      <c r="C71">
        <v>82.516717405189894</v>
      </c>
      <c r="D71">
        <v>223.19374033937001</v>
      </c>
      <c r="E71">
        <v>0.27120831402233297</v>
      </c>
      <c r="F71">
        <v>0.22159125380314701</v>
      </c>
      <c r="G71">
        <v>0.176385688271816</v>
      </c>
      <c r="K71" s="49">
        <v>0.65500000000000003</v>
      </c>
      <c r="L71">
        <v>0</v>
      </c>
      <c r="M71">
        <v>0</v>
      </c>
      <c r="N71">
        <v>0</v>
      </c>
      <c r="O71">
        <v>0</v>
      </c>
      <c r="P71">
        <v>0</v>
      </c>
      <c r="T71">
        <v>0.65500000000000003</v>
      </c>
      <c r="U71">
        <v>5.9751073509121397</v>
      </c>
      <c r="V71">
        <v>10.361188106517501</v>
      </c>
      <c r="W71">
        <v>1.9107568787854599E-2</v>
      </c>
      <c r="X71">
        <v>1.5809445139882399E-2</v>
      </c>
      <c r="Y71">
        <v>1.24060982699722E-2</v>
      </c>
      <c r="AC71" s="49">
        <v>0.65500000000000003</v>
      </c>
      <c r="AD71">
        <v>6.9572781843885299</v>
      </c>
      <c r="AE71">
        <v>25.0153048818587</v>
      </c>
      <c r="AF71">
        <v>3.4179934945320602E-2</v>
      </c>
      <c r="AG71">
        <v>2.4261517263231999E-2</v>
      </c>
      <c r="AH71">
        <v>1.8058344071137499E-2</v>
      </c>
    </row>
    <row r="72" spans="1:34" x14ac:dyDescent="0.35">
      <c r="A72">
        <v>0.93</v>
      </c>
      <c r="B72">
        <v>0.93</v>
      </c>
      <c r="C72">
        <v>80.219675285309705</v>
      </c>
      <c r="D72">
        <v>219.403438712689</v>
      </c>
      <c r="E72">
        <v>0.267343335907961</v>
      </c>
      <c r="F72">
        <v>0.218087133854933</v>
      </c>
      <c r="G72">
        <v>0.17261084282391501</v>
      </c>
      <c r="K72" s="49">
        <v>0.65</v>
      </c>
      <c r="L72">
        <v>0</v>
      </c>
      <c r="M72">
        <v>0</v>
      </c>
      <c r="N72">
        <v>0</v>
      </c>
      <c r="O72">
        <v>0</v>
      </c>
      <c r="P72">
        <v>0</v>
      </c>
      <c r="T72">
        <v>0.65</v>
      </c>
      <c r="U72">
        <v>4.34913102636117</v>
      </c>
      <c r="V72">
        <v>7.9132908324719198</v>
      </c>
      <c r="W72">
        <v>1.5682626766661802E-2</v>
      </c>
      <c r="X72">
        <v>1.26944651541123E-2</v>
      </c>
      <c r="Y72">
        <v>9.6507959926406504E-3</v>
      </c>
      <c r="AC72" s="49">
        <v>0.65</v>
      </c>
      <c r="AD72">
        <v>5.80126368970173</v>
      </c>
      <c r="AE72">
        <v>21.804147720608398</v>
      </c>
      <c r="AF72">
        <v>2.9763005238369101E-2</v>
      </c>
      <c r="AG72">
        <v>2.0697639925142199E-2</v>
      </c>
      <c r="AH72">
        <v>1.5466268829007901E-2</v>
      </c>
    </row>
    <row r="73" spans="1:34" x14ac:dyDescent="0.35">
      <c r="B73">
        <v>0.92900000000000005</v>
      </c>
      <c r="C73">
        <v>77.788736934382499</v>
      </c>
      <c r="D73">
        <v>214.93299821433001</v>
      </c>
      <c r="E73">
        <v>0.26289703303421302</v>
      </c>
      <c r="F73">
        <v>0.213963851084461</v>
      </c>
      <c r="G73">
        <v>0.16843283733797501</v>
      </c>
      <c r="AC73" s="49">
        <v>0.64500000000000002</v>
      </c>
      <c r="AD73">
        <v>5.2652031800696397</v>
      </c>
      <c r="AE73">
        <v>19.861609015869799</v>
      </c>
      <c r="AF73">
        <v>2.7777693413892E-2</v>
      </c>
      <c r="AG73">
        <v>1.9145630315861601E-2</v>
      </c>
      <c r="AH73">
        <v>1.42254961864143E-2</v>
      </c>
    </row>
    <row r="74" spans="1:34" x14ac:dyDescent="0.35">
      <c r="B74">
        <v>0.92800000000000005</v>
      </c>
      <c r="C74">
        <v>75.643449047091593</v>
      </c>
      <c r="D74">
        <v>209.22598727256999</v>
      </c>
      <c r="E74">
        <v>0.25734372494649899</v>
      </c>
      <c r="F74">
        <v>0.20880288214721701</v>
      </c>
      <c r="G74">
        <v>0.16480112838400199</v>
      </c>
      <c r="AB74">
        <v>0.64</v>
      </c>
      <c r="AC74" s="49">
        <v>0.64</v>
      </c>
      <c r="AD74">
        <v>4.7291426704375397</v>
      </c>
      <c r="AE74">
        <v>17.919070311131101</v>
      </c>
      <c r="AF74">
        <v>2.5792381589414898E-2</v>
      </c>
      <c r="AG74">
        <v>1.7593620706580899E-2</v>
      </c>
      <c r="AH74">
        <v>1.29847235438206E-2</v>
      </c>
    </row>
    <row r="75" spans="1:34" x14ac:dyDescent="0.35">
      <c r="B75">
        <v>0.92700000000000005</v>
      </c>
      <c r="C75">
        <v>73.549702877459595</v>
      </c>
      <c r="D75">
        <v>203.419869384555</v>
      </c>
      <c r="E75">
        <v>0.251700386076882</v>
      </c>
      <c r="F75">
        <v>0.203634651662601</v>
      </c>
      <c r="G75">
        <v>0.161239220395475</v>
      </c>
      <c r="AC75" s="49">
        <v>0.63500000000000001</v>
      </c>
      <c r="AD75">
        <v>4.1930821608054396</v>
      </c>
      <c r="AE75">
        <v>15.976531606392401</v>
      </c>
      <c r="AF75">
        <v>2.3807069764937801E-2</v>
      </c>
      <c r="AG75">
        <v>1.60416110973002E-2</v>
      </c>
      <c r="AH75">
        <v>1.17439509012269E-2</v>
      </c>
    </row>
    <row r="76" spans="1:34" x14ac:dyDescent="0.35">
      <c r="B76">
        <v>0.92600000000000005</v>
      </c>
      <c r="C76">
        <v>70.978546566310698</v>
      </c>
      <c r="D76">
        <v>197.35302642391099</v>
      </c>
      <c r="E76">
        <v>0.24582393285100501</v>
      </c>
      <c r="F76">
        <v>0.19814809521471299</v>
      </c>
      <c r="G76">
        <v>0.15667246771829499</v>
      </c>
      <c r="AC76" s="49">
        <v>0.63</v>
      </c>
      <c r="AD76">
        <v>3.65702165117334</v>
      </c>
      <c r="AE76">
        <v>14.0339929016538</v>
      </c>
      <c r="AF76">
        <v>2.18217579404607E-2</v>
      </c>
      <c r="AG76">
        <v>1.4489601488019499E-2</v>
      </c>
      <c r="AH76">
        <v>1.05031782586332E-2</v>
      </c>
    </row>
    <row r="77" spans="1:34" x14ac:dyDescent="0.35">
      <c r="B77">
        <v>0.92500000000000004</v>
      </c>
      <c r="C77">
        <v>68.247017176963496</v>
      </c>
      <c r="D77">
        <v>190.55294578172399</v>
      </c>
      <c r="E77">
        <v>0.23932413147126799</v>
      </c>
      <c r="F77">
        <v>0.19197642011348701</v>
      </c>
      <c r="G77">
        <v>0.15167013947327601</v>
      </c>
      <c r="AC77" s="49">
        <v>0.625</v>
      </c>
      <c r="AD77">
        <v>3.24710181750467</v>
      </c>
      <c r="AE77">
        <v>12.5460681955391</v>
      </c>
      <c r="AF77">
        <v>1.9999803889455901E-2</v>
      </c>
      <c r="AG77">
        <v>1.3155615625691499E-2</v>
      </c>
      <c r="AH77">
        <v>9.4745391512989201E-3</v>
      </c>
    </row>
    <row r="78" spans="1:34" x14ac:dyDescent="0.35">
      <c r="B78">
        <v>0.92400000000000004</v>
      </c>
      <c r="C78">
        <v>65.417313415004998</v>
      </c>
      <c r="D78">
        <v>183.08311485610599</v>
      </c>
      <c r="E78">
        <v>0.23228540183847801</v>
      </c>
      <c r="F78">
        <v>0.18526051136568</v>
      </c>
      <c r="G78">
        <v>0.14652531579814199</v>
      </c>
      <c r="AB78">
        <v>0.62</v>
      </c>
      <c r="AC78" s="49">
        <v>0.62</v>
      </c>
      <c r="AD78">
        <v>3.09447092658323</v>
      </c>
      <c r="AE78">
        <v>11.985418963181999</v>
      </c>
      <c r="AF78">
        <v>1.8511050437744099E-2</v>
      </c>
      <c r="AG78">
        <v>1.2266332464683101E-2</v>
      </c>
      <c r="AH78">
        <v>8.8785884895532692E-3</v>
      </c>
    </row>
    <row r="79" spans="1:34" x14ac:dyDescent="0.35">
      <c r="B79">
        <v>0.92300000000000004</v>
      </c>
      <c r="C79">
        <v>62.585057474123197</v>
      </c>
      <c r="D79">
        <v>176.05656906863501</v>
      </c>
      <c r="E79">
        <v>0.225624339939166</v>
      </c>
      <c r="F79">
        <v>0.178964859688895</v>
      </c>
      <c r="G79">
        <v>0.14134978389740599</v>
      </c>
      <c r="AC79" s="49">
        <v>0.61499999999999999</v>
      </c>
      <c r="AD79">
        <v>2.94184003566179</v>
      </c>
      <c r="AE79">
        <v>11.424769730824799</v>
      </c>
      <c r="AF79">
        <v>1.70222969860323E-2</v>
      </c>
      <c r="AG79">
        <v>1.13770493036747E-2</v>
      </c>
      <c r="AH79">
        <v>8.28263782780762E-3</v>
      </c>
    </row>
    <row r="80" spans="1:34" x14ac:dyDescent="0.35">
      <c r="B80">
        <v>0.92200000000000004</v>
      </c>
      <c r="C80">
        <v>59.553259686033499</v>
      </c>
      <c r="D80">
        <v>170.158972388802</v>
      </c>
      <c r="E80">
        <v>0.21988064533221099</v>
      </c>
      <c r="F80">
        <v>0.17354861606178401</v>
      </c>
      <c r="G80">
        <v>0.135794014060926</v>
      </c>
      <c r="L80" s="49"/>
      <c r="AC80" s="49">
        <v>0.61</v>
      </c>
      <c r="AD80">
        <v>2.78920914474035</v>
      </c>
      <c r="AE80">
        <v>10.864120498467599</v>
      </c>
      <c r="AF80">
        <v>1.55335435343205E-2</v>
      </c>
      <c r="AG80">
        <v>1.04877661426663E-2</v>
      </c>
      <c r="AH80">
        <v>7.6866871660619699E-3</v>
      </c>
    </row>
    <row r="81" spans="1:34" x14ac:dyDescent="0.35">
      <c r="B81">
        <v>0.92100000000000004</v>
      </c>
      <c r="C81">
        <v>56.5921233598295</v>
      </c>
      <c r="D81">
        <v>164.39123793209899</v>
      </c>
      <c r="E81">
        <v>0.214252550551045</v>
      </c>
      <c r="F81">
        <v>0.168253095326029</v>
      </c>
      <c r="G81">
        <v>0.130427671928774</v>
      </c>
      <c r="L81" s="49"/>
      <c r="AC81" s="49">
        <v>0.60499999999999998</v>
      </c>
      <c r="AD81">
        <v>2.63657825381891</v>
      </c>
      <c r="AE81">
        <v>10.3034712661104</v>
      </c>
      <c r="AF81">
        <v>1.4044790082608701E-2</v>
      </c>
      <c r="AG81">
        <v>9.5984829816578906E-3</v>
      </c>
      <c r="AH81">
        <v>7.0907365043163199E-3</v>
      </c>
    </row>
    <row r="82" spans="1:34" x14ac:dyDescent="0.35">
      <c r="A82">
        <v>0.92</v>
      </c>
      <c r="B82">
        <v>0.92</v>
      </c>
      <c r="C82">
        <v>54.2885555074498</v>
      </c>
      <c r="D82">
        <v>158.17511145468799</v>
      </c>
      <c r="E82">
        <v>0.20829151333622201</v>
      </c>
      <c r="F82">
        <v>0.16267016715608601</v>
      </c>
      <c r="G82">
        <v>0.126042431555067</v>
      </c>
      <c r="AB82" s="42">
        <v>0.6</v>
      </c>
      <c r="AC82" s="49">
        <v>0.6</v>
      </c>
      <c r="AD82">
        <v>2.32544051234937</v>
      </c>
      <c r="AE82">
        <v>9.2119161510848997</v>
      </c>
      <c r="AF82">
        <v>1.2681111767204E-2</v>
      </c>
      <c r="AG82">
        <v>8.6224179103792792E-3</v>
      </c>
      <c r="AH82">
        <v>6.3536332373744396E-3</v>
      </c>
    </row>
    <row r="83" spans="1:34" x14ac:dyDescent="0.35">
      <c r="B83">
        <v>0.91900000000000004</v>
      </c>
      <c r="C83">
        <v>52.524698050525501</v>
      </c>
      <c r="D83">
        <v>152.55653334263701</v>
      </c>
      <c r="E83">
        <v>0.20287007400424201</v>
      </c>
      <c r="F83">
        <v>0.15763953087427099</v>
      </c>
      <c r="G83">
        <v>0.12229842737034601</v>
      </c>
      <c r="AC83" s="49">
        <v>0.59499999999999997</v>
      </c>
      <c r="AD83">
        <v>1.98697374721862</v>
      </c>
      <c r="AE83">
        <v>8.0288246805065402</v>
      </c>
      <c r="AF83">
        <v>1.1338998332735E-2</v>
      </c>
      <c r="AG83">
        <v>7.6313903004410497E-3</v>
      </c>
      <c r="AH83">
        <v>5.5921930861028901E-3</v>
      </c>
    </row>
    <row r="84" spans="1:34" x14ac:dyDescent="0.35">
      <c r="B84">
        <v>0.91800000000000004</v>
      </c>
      <c r="C84">
        <v>50.7599408296227</v>
      </c>
      <c r="D84">
        <v>148.63184796792399</v>
      </c>
      <c r="E84">
        <v>0.19883499809258401</v>
      </c>
      <c r="F84">
        <v>0.15403042917474</v>
      </c>
      <c r="G84">
        <v>0.11858013064579701</v>
      </c>
      <c r="AC84" s="49">
        <v>0.59</v>
      </c>
      <c r="AD84">
        <v>1.64850698208786</v>
      </c>
      <c r="AE84">
        <v>6.8457332099281896</v>
      </c>
      <c r="AF84">
        <v>9.9968848982660407E-3</v>
      </c>
      <c r="AG84">
        <v>6.6403626905028202E-3</v>
      </c>
      <c r="AH84">
        <v>4.8307529348313302E-3</v>
      </c>
    </row>
    <row r="85" spans="1:34" x14ac:dyDescent="0.35">
      <c r="B85">
        <v>0.91700000000000004</v>
      </c>
      <c r="C85">
        <v>48.951023773613201</v>
      </c>
      <c r="D85">
        <v>144.66292973953699</v>
      </c>
      <c r="E85">
        <v>0.194542583399542</v>
      </c>
      <c r="F85">
        <v>0.150272456073276</v>
      </c>
      <c r="G85">
        <v>0.114845392600211</v>
      </c>
      <c r="AC85" s="49">
        <v>0.58499999999999996</v>
      </c>
      <c r="AD85">
        <v>1.3100402169571099</v>
      </c>
      <c r="AE85">
        <v>5.6626417393498398</v>
      </c>
      <c r="AF85">
        <v>8.6547714637970497E-3</v>
      </c>
      <c r="AG85">
        <v>5.6493350805645803E-3</v>
      </c>
      <c r="AH85">
        <v>4.0693127835597798E-3</v>
      </c>
    </row>
    <row r="86" spans="1:34" x14ac:dyDescent="0.35">
      <c r="B86">
        <v>0.91600000000000004</v>
      </c>
      <c r="C86">
        <v>47.8874216231345</v>
      </c>
      <c r="D86">
        <v>141.216075180708</v>
      </c>
      <c r="E86">
        <v>0.19052270938549201</v>
      </c>
      <c r="F86">
        <v>0.14694902599221299</v>
      </c>
      <c r="G86">
        <v>0.112149035355011</v>
      </c>
      <c r="AB86">
        <v>0.57999999999999996</v>
      </c>
      <c r="AC86" s="49">
        <v>0.57999999999999996</v>
      </c>
      <c r="AD86">
        <v>1.13535225412172</v>
      </c>
      <c r="AE86">
        <v>4.9637981721180902</v>
      </c>
      <c r="AF86">
        <v>7.7067946623542403E-3</v>
      </c>
      <c r="AG86">
        <v>4.9361191487690102E-3</v>
      </c>
      <c r="AH86">
        <v>3.5301766409017101E-3</v>
      </c>
    </row>
    <row r="87" spans="1:34" x14ac:dyDescent="0.35">
      <c r="B87">
        <v>0.91500000000000004</v>
      </c>
      <c r="C87">
        <v>47.194104815649503</v>
      </c>
      <c r="D87">
        <v>138.733517526903</v>
      </c>
      <c r="E87">
        <v>0.187521197541478</v>
      </c>
      <c r="F87">
        <v>0.14454673362942499</v>
      </c>
      <c r="G87">
        <v>0.109870774199239</v>
      </c>
      <c r="AC87" s="49">
        <v>0.57499999999999996</v>
      </c>
      <c r="AD87">
        <v>1.0357693896551501</v>
      </c>
      <c r="AE87">
        <v>4.4870192793498198</v>
      </c>
      <c r="AF87">
        <v>6.9395596307821996E-3</v>
      </c>
      <c r="AG87">
        <v>4.3503011043830603E-3</v>
      </c>
      <c r="AH87">
        <v>3.0929838767559999E-3</v>
      </c>
    </row>
    <row r="88" spans="1:34" x14ac:dyDescent="0.35">
      <c r="B88">
        <v>0.91400000000000003</v>
      </c>
      <c r="C88">
        <v>46.691661026468701</v>
      </c>
      <c r="D88">
        <v>136.906196548293</v>
      </c>
      <c r="E88">
        <v>0.18507168063865301</v>
      </c>
      <c r="F88">
        <v>0.14271305390779701</v>
      </c>
      <c r="G88">
        <v>0.107786701582541</v>
      </c>
      <c r="AC88" s="49">
        <v>0.56999999999999995</v>
      </c>
      <c r="AD88">
        <v>0.93618652518859002</v>
      </c>
      <c r="AE88">
        <v>4.0102403865815699</v>
      </c>
      <c r="AF88">
        <v>6.17232459921019E-3</v>
      </c>
      <c r="AG88">
        <v>3.76448305999713E-3</v>
      </c>
      <c r="AH88">
        <v>2.6557911126102998E-3</v>
      </c>
    </row>
    <row r="89" spans="1:34" x14ac:dyDescent="0.35">
      <c r="B89">
        <v>0.91300000000000003</v>
      </c>
      <c r="C89">
        <v>46.301164649154501</v>
      </c>
      <c r="D89">
        <v>134.63817136933099</v>
      </c>
      <c r="E89">
        <v>0.18212972744667799</v>
      </c>
      <c r="F89">
        <v>0.14044583703529601</v>
      </c>
      <c r="G89">
        <v>0.105969095769137</v>
      </c>
      <c r="AC89" s="49">
        <v>0.56499999999999995</v>
      </c>
      <c r="AD89">
        <v>0.83660366072201997</v>
      </c>
      <c r="AE89">
        <v>3.5334614938132902</v>
      </c>
      <c r="AF89">
        <v>5.4050895676381501E-3</v>
      </c>
      <c r="AG89">
        <v>3.1786650156111701E-3</v>
      </c>
      <c r="AH89">
        <v>2.2185983484645801E-3</v>
      </c>
    </row>
    <row r="90" spans="1:34" x14ac:dyDescent="0.35">
      <c r="B90">
        <v>0.91200000000000003</v>
      </c>
      <c r="C90">
        <v>46.163816604109698</v>
      </c>
      <c r="D90">
        <v>131.82210432231099</v>
      </c>
      <c r="E90">
        <v>0.17860083499510801</v>
      </c>
      <c r="F90">
        <v>0.13763520916101801</v>
      </c>
      <c r="G90">
        <v>0.104583563863945</v>
      </c>
      <c r="AB90">
        <v>0.56000000000000005</v>
      </c>
      <c r="AC90" s="49">
        <v>0.56000000000000005</v>
      </c>
      <c r="AD90">
        <v>0</v>
      </c>
      <c r="AE90">
        <v>0</v>
      </c>
      <c r="AF90">
        <v>0</v>
      </c>
      <c r="AG90">
        <v>0</v>
      </c>
      <c r="AH90">
        <v>0</v>
      </c>
    </row>
    <row r="91" spans="1:34" x14ac:dyDescent="0.35">
      <c r="B91">
        <v>0.91100000000000003</v>
      </c>
      <c r="C91">
        <v>45.818069504454101</v>
      </c>
      <c r="D91">
        <v>129.34286193661001</v>
      </c>
      <c r="E91">
        <v>0.175526078253669</v>
      </c>
      <c r="F91">
        <v>0.13511726887522299</v>
      </c>
      <c r="G91">
        <v>0.102971987631279</v>
      </c>
    </row>
    <row r="92" spans="1:34" x14ac:dyDescent="0.35">
      <c r="A92">
        <v>0.91</v>
      </c>
      <c r="B92">
        <v>0.91</v>
      </c>
      <c r="C92">
        <v>45.240290312255603</v>
      </c>
      <c r="D92">
        <v>126.824749343566</v>
      </c>
      <c r="E92">
        <v>0.17239910057246799</v>
      </c>
      <c r="F92">
        <v>0.13258407576676101</v>
      </c>
      <c r="G92">
        <v>0.101028810423076</v>
      </c>
    </row>
    <row r="93" spans="1:34" x14ac:dyDescent="0.35">
      <c r="B93">
        <v>0.90900000000000003</v>
      </c>
      <c r="C93">
        <v>44.552990235019699</v>
      </c>
      <c r="D93">
        <v>123.552491416477</v>
      </c>
      <c r="E93">
        <v>0.16854940889381001</v>
      </c>
      <c r="F93">
        <v>0.12933620273551799</v>
      </c>
      <c r="G93">
        <v>9.9234021056223198E-2</v>
      </c>
      <c r="K93" s="42"/>
    </row>
    <row r="94" spans="1:34" x14ac:dyDescent="0.35">
      <c r="B94">
        <v>0.90800000000000003</v>
      </c>
      <c r="C94">
        <v>43.7759070450835</v>
      </c>
      <c r="D94">
        <v>119.578068599848</v>
      </c>
      <c r="E94">
        <v>0.16423707937706</v>
      </c>
      <c r="F94">
        <v>0.12549838678294101</v>
      </c>
      <c r="G94">
        <v>9.7334624355376806E-2</v>
      </c>
      <c r="K94" s="42"/>
    </row>
    <row r="95" spans="1:34" x14ac:dyDescent="0.35">
      <c r="B95">
        <v>0.90700000000000003</v>
      </c>
      <c r="C95">
        <v>42.859217527780402</v>
      </c>
      <c r="D95">
        <v>117.610212933279</v>
      </c>
      <c r="E95">
        <v>0.162149711614547</v>
      </c>
      <c r="F95">
        <v>0.123657956699843</v>
      </c>
      <c r="G95">
        <v>9.4992625092376298E-2</v>
      </c>
    </row>
    <row r="96" spans="1:34" x14ac:dyDescent="0.35">
      <c r="B96">
        <v>0.90600000000000003</v>
      </c>
      <c r="C96">
        <v>41.569055740833903</v>
      </c>
      <c r="D96">
        <v>115.691201061577</v>
      </c>
      <c r="E96">
        <v>0.160327634480535</v>
      </c>
      <c r="F96">
        <v>0.122031594796899</v>
      </c>
      <c r="G96">
        <v>9.2055316396620304E-2</v>
      </c>
    </row>
    <row r="97" spans="1:7" x14ac:dyDescent="0.35">
      <c r="B97">
        <v>0.90500000000000003</v>
      </c>
      <c r="C97">
        <v>40.654582049532301</v>
      </c>
      <c r="D97">
        <v>112.214781075636</v>
      </c>
      <c r="E97">
        <v>0.156757579535934</v>
      </c>
      <c r="F97">
        <v>0.118802428336789</v>
      </c>
      <c r="G97">
        <v>9.0348280483690299E-2</v>
      </c>
    </row>
    <row r="98" spans="1:7" x14ac:dyDescent="0.35">
      <c r="B98">
        <v>0.90400000000000003</v>
      </c>
      <c r="C98">
        <v>39.840002730645502</v>
      </c>
      <c r="D98">
        <v>109.56801376569101</v>
      </c>
      <c r="E98">
        <v>0.15396844154192199</v>
      </c>
      <c r="F98">
        <v>0.116330843740881</v>
      </c>
      <c r="G98">
        <v>8.8877890008727006E-2</v>
      </c>
    </row>
    <row r="99" spans="1:7" x14ac:dyDescent="0.35">
      <c r="B99">
        <v>0.90300000000000002</v>
      </c>
      <c r="C99">
        <v>38.828541079907403</v>
      </c>
      <c r="D99">
        <v>108.608348928677</v>
      </c>
      <c r="E99">
        <v>0.15288233362456299</v>
      </c>
      <c r="F99">
        <v>0.115546679537521</v>
      </c>
      <c r="G99">
        <v>8.6823326691359295E-2</v>
      </c>
    </row>
    <row r="100" spans="1:7" x14ac:dyDescent="0.35">
      <c r="B100">
        <v>0.90200000000000002</v>
      </c>
      <c r="C100">
        <v>37.965185719181903</v>
      </c>
      <c r="D100">
        <v>107.01637921030201</v>
      </c>
      <c r="E100">
        <v>0.151338745051565</v>
      </c>
      <c r="F100">
        <v>0.114428011799841</v>
      </c>
      <c r="G100">
        <v>8.4974142520133203E-2</v>
      </c>
    </row>
    <row r="101" spans="1:7" x14ac:dyDescent="0.35">
      <c r="B101">
        <v>0.90100000000000002</v>
      </c>
      <c r="C101">
        <v>37.766802570819202</v>
      </c>
      <c r="D101">
        <v>105.10132723176901</v>
      </c>
      <c r="E101">
        <v>0.14926528710491199</v>
      </c>
      <c r="F101">
        <v>0.112964751688837</v>
      </c>
      <c r="G101">
        <v>8.4414110652183405E-2</v>
      </c>
    </row>
    <row r="102" spans="1:7" x14ac:dyDescent="0.35">
      <c r="A102" s="42">
        <v>0.9</v>
      </c>
      <c r="B102">
        <v>0.9</v>
      </c>
      <c r="C102">
        <v>37.109698623208402</v>
      </c>
      <c r="D102">
        <v>104.89552156440899</v>
      </c>
      <c r="E102">
        <v>0.148737732865348</v>
      </c>
      <c r="F102">
        <v>0.112904783853427</v>
      </c>
      <c r="G102">
        <v>8.3101651095296797E-2</v>
      </c>
    </row>
    <row r="103" spans="1:7" x14ac:dyDescent="0.35">
      <c r="B103">
        <v>0.89900000000000002</v>
      </c>
      <c r="C103">
        <v>36.446841202657197</v>
      </c>
      <c r="D103">
        <v>104.51381394225</v>
      </c>
      <c r="E103">
        <v>0.14801406952937399</v>
      </c>
      <c r="F103">
        <v>0.11274172183252899</v>
      </c>
      <c r="G103">
        <v>8.1682222949078398E-2</v>
      </c>
    </row>
    <row r="104" spans="1:7" x14ac:dyDescent="0.35">
      <c r="B104">
        <v>0.89800000000000002</v>
      </c>
      <c r="C104">
        <v>36.2415704652092</v>
      </c>
      <c r="D104">
        <v>102.493145542245</v>
      </c>
      <c r="E104">
        <v>0.14559563836551401</v>
      </c>
      <c r="F104">
        <v>0.11103768033912199</v>
      </c>
      <c r="G104">
        <v>8.1100607189023594E-2</v>
      </c>
    </row>
    <row r="105" spans="1:7" x14ac:dyDescent="0.35">
      <c r="B105">
        <v>0.89700000000000002</v>
      </c>
      <c r="C105">
        <v>36.162505419807097</v>
      </c>
      <c r="D105">
        <v>99.821491955734302</v>
      </c>
      <c r="E105">
        <v>0.142290621524989</v>
      </c>
      <c r="F105">
        <v>0.10850822853077401</v>
      </c>
      <c r="G105">
        <v>8.0793644851596402E-2</v>
      </c>
    </row>
    <row r="106" spans="1:7" x14ac:dyDescent="0.35">
      <c r="B106">
        <v>0.89600000000000002</v>
      </c>
      <c r="C106">
        <v>35.550968432033102</v>
      </c>
      <c r="D106">
        <v>97.3280077205944</v>
      </c>
      <c r="E106">
        <v>0.139095234034741</v>
      </c>
      <c r="F106">
        <v>0.10601381600910401</v>
      </c>
      <c r="G106">
        <v>7.94920221870348E-2</v>
      </c>
    </row>
    <row r="107" spans="1:7" x14ac:dyDescent="0.35">
      <c r="B107">
        <v>0.89500000000000002</v>
      </c>
      <c r="C107">
        <v>34.562941080715198</v>
      </c>
      <c r="D107">
        <v>95.066287006123801</v>
      </c>
      <c r="E107">
        <v>0.13638676308072201</v>
      </c>
      <c r="F107">
        <v>0.103947617168254</v>
      </c>
      <c r="G107">
        <v>7.7422686671650101E-2</v>
      </c>
    </row>
    <row r="108" spans="1:7" x14ac:dyDescent="0.35">
      <c r="B108">
        <v>0.89400000000000002</v>
      </c>
      <c r="C108">
        <v>33.527696441539703</v>
      </c>
      <c r="D108">
        <v>92.432710021533495</v>
      </c>
      <c r="E108">
        <v>0.133393826361659</v>
      </c>
      <c r="F108">
        <v>0.10144793610835701</v>
      </c>
      <c r="G108">
        <v>7.5300169569105804E-2</v>
      </c>
    </row>
    <row r="109" spans="1:7" x14ac:dyDescent="0.35">
      <c r="B109">
        <v>0.89300000000000002</v>
      </c>
      <c r="C109">
        <v>32.482771263587203</v>
      </c>
      <c r="D109">
        <v>89.646379834884101</v>
      </c>
      <c r="E109">
        <v>0.129975184205604</v>
      </c>
      <c r="F109">
        <v>9.8488371074245504E-2</v>
      </c>
      <c r="G109">
        <v>7.3179929552668194E-2</v>
      </c>
    </row>
    <row r="110" spans="1:7" x14ac:dyDescent="0.35">
      <c r="B110">
        <v>0.89200000000000002</v>
      </c>
      <c r="C110">
        <v>31.428283104395401</v>
      </c>
      <c r="D110">
        <v>87.028048078790405</v>
      </c>
      <c r="E110">
        <v>0.12670007107376</v>
      </c>
      <c r="F110">
        <v>9.55444191501678E-2</v>
      </c>
      <c r="G110">
        <v>7.1052744726793002E-2</v>
      </c>
    </row>
    <row r="111" spans="1:7" x14ac:dyDescent="0.35">
      <c r="B111">
        <v>0.89100000000000001</v>
      </c>
      <c r="C111">
        <v>30.356057931301098</v>
      </c>
      <c r="D111">
        <v>84.449131727272004</v>
      </c>
      <c r="E111">
        <v>0.12360119866465399</v>
      </c>
      <c r="F111">
        <v>9.2700130470990599E-2</v>
      </c>
      <c r="G111">
        <v>6.8898681430203501E-2</v>
      </c>
    </row>
    <row r="112" spans="1:7" x14ac:dyDescent="0.35">
      <c r="A112">
        <v>0.89</v>
      </c>
      <c r="B112">
        <v>0.89</v>
      </c>
      <c r="C112">
        <v>29.260754097509199</v>
      </c>
      <c r="D112">
        <v>81.844963724671501</v>
      </c>
      <c r="E112">
        <v>0.12051479736935</v>
      </c>
      <c r="F112">
        <v>8.99040627974034E-2</v>
      </c>
      <c r="G112">
        <v>6.6704301636804894E-2</v>
      </c>
    </row>
    <row r="113" spans="1:7" x14ac:dyDescent="0.35">
      <c r="B113">
        <v>0.88900000000000001</v>
      </c>
      <c r="C113">
        <v>28.140949975691999</v>
      </c>
      <c r="D113">
        <v>79.191840197113805</v>
      </c>
      <c r="E113">
        <v>0.117365066727748</v>
      </c>
      <c r="F113">
        <v>8.7103093472701995E-2</v>
      </c>
      <c r="G113">
        <v>6.4462245595122994E-2</v>
      </c>
    </row>
    <row r="114" spans="1:7" x14ac:dyDescent="0.35">
      <c r="B114">
        <v>0.88800000000000001</v>
      </c>
      <c r="C114">
        <v>26.997035445695701</v>
      </c>
      <c r="D114">
        <v>76.486173663646497</v>
      </c>
      <c r="E114">
        <v>0.114126984097056</v>
      </c>
      <c r="F114">
        <v>8.4270274648314505E-2</v>
      </c>
      <c r="G114">
        <v>6.2168789067593599E-2</v>
      </c>
    </row>
    <row r="115" spans="1:7" x14ac:dyDescent="0.35">
      <c r="B115">
        <v>0.88700000000000001</v>
      </c>
      <c r="C115">
        <v>25.829881802835398</v>
      </c>
      <c r="D115">
        <v>73.730520272643005</v>
      </c>
      <c r="E115">
        <v>0.110794720371639</v>
      </c>
      <c r="F115">
        <v>8.1393919169055307E-2</v>
      </c>
      <c r="G115">
        <v>5.9822274980855898E-2</v>
      </c>
    </row>
    <row r="116" spans="1:7" x14ac:dyDescent="0.35">
      <c r="B116">
        <v>0.88600000000000001</v>
      </c>
      <c r="C116">
        <v>24.640511830963298</v>
      </c>
      <c r="D116">
        <v>70.929129121837605</v>
      </c>
      <c r="E116">
        <v>0.10736981555055899</v>
      </c>
      <c r="F116">
        <v>7.8469781914538503E-2</v>
      </c>
      <c r="G116">
        <v>5.7422294809019503E-2</v>
      </c>
    </row>
    <row r="117" spans="1:7" x14ac:dyDescent="0.35">
      <c r="B117">
        <v>0.88500000000000001</v>
      </c>
      <c r="C117">
        <v>23.429832310587599</v>
      </c>
      <c r="D117">
        <v>68.086782250336299</v>
      </c>
      <c r="E117">
        <v>0.103857686039941</v>
      </c>
      <c r="F117">
        <v>7.5497792967192598E-2</v>
      </c>
      <c r="G117">
        <v>5.4969392391378102E-2</v>
      </c>
    </row>
    <row r="118" spans="1:7" x14ac:dyDescent="0.35">
      <c r="B118">
        <v>0.88400000000000001</v>
      </c>
      <c r="C118">
        <v>22.1983665562752</v>
      </c>
      <c r="D118">
        <v>65.208804882361605</v>
      </c>
      <c r="E118">
        <v>0.100267263405475</v>
      </c>
      <c r="F118">
        <v>7.2481057867047796E-2</v>
      </c>
      <c r="G118">
        <v>5.24650787852401E-2</v>
      </c>
    </row>
    <row r="119" spans="1:7" x14ac:dyDescent="0.35">
      <c r="B119">
        <v>0.88300000000000001</v>
      </c>
      <c r="C119">
        <v>20.94656136467</v>
      </c>
      <c r="D119">
        <v>62.299592678616897</v>
      </c>
      <c r="E119">
        <v>9.6606942579797198E-2</v>
      </c>
      <c r="F119">
        <v>6.9423125255124299E-2</v>
      </c>
      <c r="G119">
        <v>4.9910996053650999E-2</v>
      </c>
    </row>
    <row r="120" spans="1:7" x14ac:dyDescent="0.35">
      <c r="B120">
        <v>0.88200000000000001</v>
      </c>
      <c r="C120">
        <v>19.6748459962871</v>
      </c>
      <c r="D120">
        <v>59.362377567161197</v>
      </c>
      <c r="E120">
        <v>9.2883671235584497E-2</v>
      </c>
      <c r="F120">
        <v>6.6327249235075006E-2</v>
      </c>
      <c r="G120">
        <v>4.7308698111966099E-2</v>
      </c>
    </row>
    <row r="121" spans="1:7" x14ac:dyDescent="0.35">
      <c r="B121">
        <v>0.88100000000000001</v>
      </c>
      <c r="C121">
        <v>18.3836185304467</v>
      </c>
      <c r="D121">
        <v>56.399321889327197</v>
      </c>
      <c r="E121">
        <v>8.9102963042955993E-2</v>
      </c>
      <c r="F121">
        <v>6.3196267513990698E-2</v>
      </c>
      <c r="G121">
        <v>4.4659620923250501E-2</v>
      </c>
    </row>
    <row r="122" spans="1:7" x14ac:dyDescent="0.35">
      <c r="A122">
        <v>0.88</v>
      </c>
      <c r="B122">
        <v>0.88</v>
      </c>
      <c r="C122">
        <v>17.0732462006265</v>
      </c>
      <c r="D122">
        <v>53.4111337072395</v>
      </c>
      <c r="E122">
        <v>8.5268564149870704E-2</v>
      </c>
      <c r="F122">
        <v>6.00324261195474E-2</v>
      </c>
      <c r="G122">
        <v>4.1964997920882298E-2</v>
      </c>
    </row>
    <row r="123" spans="1:7" x14ac:dyDescent="0.35">
      <c r="B123">
        <v>0.879</v>
      </c>
      <c r="C123">
        <v>15.744059242701301</v>
      </c>
      <c r="D123">
        <v>50.3972559989326</v>
      </c>
      <c r="E123">
        <v>8.1382614010455906E-2</v>
      </c>
      <c r="F123">
        <v>5.6837384741824801E-2</v>
      </c>
      <c r="G123">
        <v>3.9225853945286E-2</v>
      </c>
    </row>
    <row r="124" spans="1:7" x14ac:dyDescent="0.35">
      <c r="B124">
        <v>0.878</v>
      </c>
      <c r="C124">
        <v>14.3963394206622</v>
      </c>
      <c r="D124">
        <v>47.3568100022095</v>
      </c>
      <c r="E124">
        <v>7.7446450284119395E-2</v>
      </c>
      <c r="F124">
        <v>5.3612455242923102E-2</v>
      </c>
      <c r="G124">
        <v>3.6443120373715901E-2</v>
      </c>
    </row>
    <row r="125" spans="1:7" x14ac:dyDescent="0.35">
      <c r="B125">
        <v>0.877</v>
      </c>
      <c r="C125">
        <v>13.030324559335799</v>
      </c>
      <c r="D125">
        <v>44.288704316028699</v>
      </c>
      <c r="E125">
        <v>7.3460732340038207E-2</v>
      </c>
      <c r="F125">
        <v>5.0358640770715002E-2</v>
      </c>
      <c r="G125">
        <v>3.3617646660235603E-2</v>
      </c>
    </row>
    <row r="126" spans="1:7" x14ac:dyDescent="0.35">
      <c r="B126">
        <v>0.876</v>
      </c>
      <c r="C126">
        <v>11.646220580530899</v>
      </c>
      <c r="D126">
        <v>41.191674491189403</v>
      </c>
      <c r="E126">
        <v>6.9425431559508102E-2</v>
      </c>
      <c r="F126">
        <v>4.70766342523916E-2</v>
      </c>
      <c r="G126">
        <v>3.0750209585078701E-2</v>
      </c>
    </row>
    <row r="127" spans="1:7" x14ac:dyDescent="0.35">
      <c r="B127">
        <v>0.875</v>
      </c>
      <c r="C127">
        <v>10.2442535030087</v>
      </c>
      <c r="D127">
        <v>38.064317992401001</v>
      </c>
      <c r="E127">
        <v>6.5339357688571201E-2</v>
      </c>
      <c r="F127">
        <v>4.3766658310899202E-2</v>
      </c>
      <c r="G127">
        <v>2.7841553932993399E-2</v>
      </c>
    </row>
    <row r="128" spans="1:7" x14ac:dyDescent="0.35">
      <c r="B128">
        <v>0.874</v>
      </c>
      <c r="C128">
        <v>8.8246480616427103</v>
      </c>
      <c r="D128">
        <v>34.905126623290599</v>
      </c>
      <c r="E128">
        <v>6.1200575160522401E-2</v>
      </c>
      <c r="F128">
        <v>4.0428612295002102E-2</v>
      </c>
      <c r="G128">
        <v>2.4892377346398001E-2</v>
      </c>
    </row>
    <row r="129" spans="1:7" x14ac:dyDescent="0.35">
      <c r="B129">
        <v>0.873</v>
      </c>
      <c r="C129">
        <v>7.3876054015108901</v>
      </c>
      <c r="D129">
        <v>31.7125139248149</v>
      </c>
      <c r="E129">
        <v>5.70067823482098E-2</v>
      </c>
      <c r="F129">
        <v>3.7062207278127597E-2</v>
      </c>
      <c r="G129">
        <v>2.1903314721719899E-2</v>
      </c>
    </row>
    <row r="130" spans="1:7" x14ac:dyDescent="0.35">
      <c r="B130">
        <v>0.872</v>
      </c>
      <c r="C130">
        <v>5.9333058363202102</v>
      </c>
      <c r="D130">
        <v>28.484839310958499</v>
      </c>
      <c r="E130">
        <v>5.2755371896525703E-2</v>
      </c>
      <c r="F130">
        <v>3.3666991155873599E-2</v>
      </c>
      <c r="G130">
        <v>1.8874941971155398E-2</v>
      </c>
    </row>
    <row r="131" spans="1:7" x14ac:dyDescent="0.35">
      <c r="B131">
        <v>0.871</v>
      </c>
      <c r="C131">
        <v>4.4618777380318502</v>
      </c>
      <c r="D131">
        <v>25.2205578117111</v>
      </c>
      <c r="E131">
        <v>4.8443834745879398E-2</v>
      </c>
      <c r="F131">
        <v>3.02424508139125E-2</v>
      </c>
      <c r="G131">
        <v>1.5807728147489802E-2</v>
      </c>
    </row>
    <row r="132" spans="1:7" x14ac:dyDescent="0.35">
      <c r="A132">
        <v>0.87</v>
      </c>
      <c r="B132">
        <v>0.87</v>
      </c>
      <c r="C132">
        <v>2.9733548204373199</v>
      </c>
      <c r="D132">
        <v>21.9184405862432</v>
      </c>
      <c r="E132">
        <v>4.4070364948786703E-2</v>
      </c>
      <c r="F132">
        <v>2.6788172670177999E-2</v>
      </c>
      <c r="G132">
        <v>1.2701971380846999E-2</v>
      </c>
    </row>
    <row r="133" spans="1:7" x14ac:dyDescent="0.35">
      <c r="B133">
        <v>0.86899999999999999</v>
      </c>
      <c r="C133">
        <v>1.4677430435602701</v>
      </c>
      <c r="D133">
        <v>18.577377031181999</v>
      </c>
      <c r="E133">
        <v>3.9633331773139199E-2</v>
      </c>
      <c r="F133">
        <v>2.3303748902604601E-2</v>
      </c>
      <c r="G133">
        <v>9.5579041113698603E-3</v>
      </c>
    </row>
    <row r="134" spans="1:7" x14ac:dyDescent="0.35">
      <c r="B134">
        <v>0.86799999999999999</v>
      </c>
      <c r="C134">
        <v>0</v>
      </c>
      <c r="D134">
        <v>15.1963358332205</v>
      </c>
      <c r="E134">
        <v>3.5131185689634199E-2</v>
      </c>
      <c r="F134">
        <v>1.9788766163414E-2</v>
      </c>
      <c r="G134">
        <v>6.3757173100209797E-3</v>
      </c>
    </row>
    <row r="135" spans="1:7" x14ac:dyDescent="0.35">
      <c r="B135">
        <v>0.86699999999999999</v>
      </c>
      <c r="C135">
        <v>0</v>
      </c>
      <c r="D135">
        <v>11.7743606799212</v>
      </c>
      <c r="E135">
        <v>3.0562458714613001E-2</v>
      </c>
      <c r="F135">
        <v>1.6242812419997699E-2</v>
      </c>
      <c r="G135">
        <v>3.1555675671509102E-3</v>
      </c>
    </row>
    <row r="136" spans="1:7" x14ac:dyDescent="0.35">
      <c r="B136">
        <v>0.86599999999999999</v>
      </c>
      <c r="C136">
        <v>0</v>
      </c>
      <c r="D136">
        <v>8.3105655841256993</v>
      </c>
      <c r="E136">
        <v>2.5925763256320299E-2</v>
      </c>
      <c r="F136">
        <v>1.26654819064554E-2</v>
      </c>
      <c r="G136">
        <v>0</v>
      </c>
    </row>
    <row r="137" spans="1:7" x14ac:dyDescent="0.35">
      <c r="B137">
        <v>0.86499999999999999</v>
      </c>
      <c r="C137">
        <v>0</v>
      </c>
      <c r="D137">
        <v>4.8041300819373598</v>
      </c>
      <c r="E137">
        <v>2.1219789923548098E-2</v>
      </c>
      <c r="F137">
        <v>9.0563786320467903E-3</v>
      </c>
      <c r="G137">
        <v>0</v>
      </c>
    </row>
    <row r="138" spans="1:7" x14ac:dyDescent="0.35">
      <c r="B138">
        <v>0.86399999999999999</v>
      </c>
      <c r="C138">
        <v>0</v>
      </c>
      <c r="D138">
        <v>1.25429447714491</v>
      </c>
      <c r="E138">
        <v>1.6443304642033901E-2</v>
      </c>
      <c r="F138">
        <v>5.4151187926403197E-3</v>
      </c>
      <c r="G138">
        <v>0</v>
      </c>
    </row>
    <row r="139" spans="1:7" x14ac:dyDescent="0.35">
      <c r="B139">
        <v>0.86299999999999999</v>
      </c>
      <c r="C139">
        <v>0</v>
      </c>
      <c r="D139">
        <v>0</v>
      </c>
      <c r="E139">
        <v>1.1595145335840501E-2</v>
      </c>
      <c r="F139">
        <v>1.7413323524533299E-3</v>
      </c>
      <c r="G139">
        <v>0</v>
      </c>
    </row>
    <row r="140" spans="1:7" x14ac:dyDescent="0.35">
      <c r="B140">
        <v>0.86199999999999999</v>
      </c>
      <c r="C140">
        <v>0</v>
      </c>
      <c r="D140">
        <v>0</v>
      </c>
      <c r="E140">
        <v>6.67421836324657E-3</v>
      </c>
      <c r="F140">
        <v>0</v>
      </c>
      <c r="G140">
        <v>0</v>
      </c>
    </row>
    <row r="141" spans="1:7" x14ac:dyDescent="0.35">
      <c r="B141">
        <v>0.86099999999999999</v>
      </c>
      <c r="C141">
        <v>0</v>
      </c>
      <c r="D141">
        <v>0</v>
      </c>
      <c r="E141">
        <v>1.67949484509432E-3</v>
      </c>
      <c r="F141">
        <v>0</v>
      </c>
      <c r="G141">
        <v>0</v>
      </c>
    </row>
    <row r="142" spans="1:7" x14ac:dyDescent="0.35">
      <c r="A142">
        <v>0.86</v>
      </c>
      <c r="B142">
        <v>0.86</v>
      </c>
      <c r="C142">
        <v>0</v>
      </c>
      <c r="D142">
        <v>0</v>
      </c>
      <c r="E142">
        <v>0</v>
      </c>
      <c r="F142">
        <v>0</v>
      </c>
      <c r="G142">
        <v>0</v>
      </c>
    </row>
    <row r="143" spans="1:7" x14ac:dyDescent="0.35">
      <c r="B143">
        <v>0.85899999999999999</v>
      </c>
      <c r="C143">
        <v>0</v>
      </c>
      <c r="D143">
        <v>0</v>
      </c>
      <c r="E143">
        <v>0</v>
      </c>
      <c r="F143">
        <v>0</v>
      </c>
      <c r="G143">
        <v>0</v>
      </c>
    </row>
    <row r="144" spans="1:7" x14ac:dyDescent="0.35">
      <c r="B144">
        <v>0.85799999999999998</v>
      </c>
      <c r="C144">
        <v>0</v>
      </c>
      <c r="D144">
        <v>0</v>
      </c>
      <c r="E144">
        <v>0</v>
      </c>
      <c r="F144">
        <v>0</v>
      </c>
      <c r="G144">
        <v>0</v>
      </c>
    </row>
    <row r="145" spans="1:7" x14ac:dyDescent="0.35">
      <c r="B145">
        <v>0.85699999999999998</v>
      </c>
      <c r="C145">
        <v>0</v>
      </c>
      <c r="D145">
        <v>0</v>
      </c>
      <c r="E145">
        <v>0</v>
      </c>
      <c r="F145">
        <v>0</v>
      </c>
      <c r="G145">
        <v>0</v>
      </c>
    </row>
    <row r="146" spans="1:7" x14ac:dyDescent="0.35">
      <c r="B146">
        <v>0.85599999999999998</v>
      </c>
      <c r="C146">
        <v>0</v>
      </c>
      <c r="D146">
        <v>0</v>
      </c>
      <c r="E146">
        <v>0</v>
      </c>
      <c r="F146">
        <v>0</v>
      </c>
      <c r="G146">
        <v>0</v>
      </c>
    </row>
    <row r="147" spans="1:7" x14ac:dyDescent="0.35">
      <c r="B147">
        <v>0.85499999999999998</v>
      </c>
      <c r="C147">
        <v>0</v>
      </c>
      <c r="D147">
        <v>0</v>
      </c>
      <c r="E147">
        <v>0</v>
      </c>
      <c r="F147">
        <v>0</v>
      </c>
      <c r="G147">
        <v>0</v>
      </c>
    </row>
    <row r="148" spans="1:7" x14ac:dyDescent="0.35">
      <c r="B148">
        <v>0.85399999999999998</v>
      </c>
      <c r="C148">
        <v>0</v>
      </c>
      <c r="D148">
        <v>0</v>
      </c>
      <c r="E148">
        <v>0</v>
      </c>
      <c r="F148">
        <v>0</v>
      </c>
      <c r="G148">
        <v>0</v>
      </c>
    </row>
    <row r="149" spans="1:7" x14ac:dyDescent="0.35">
      <c r="B149">
        <v>0.85299999999999998</v>
      </c>
      <c r="C149">
        <v>0</v>
      </c>
      <c r="D149">
        <v>0</v>
      </c>
      <c r="E149">
        <v>0</v>
      </c>
      <c r="F149">
        <v>0</v>
      </c>
      <c r="G149">
        <v>0</v>
      </c>
    </row>
    <row r="150" spans="1:7" x14ac:dyDescent="0.35">
      <c r="B150">
        <v>0.85199999999999998</v>
      </c>
      <c r="C150">
        <v>0</v>
      </c>
      <c r="D150">
        <v>0</v>
      </c>
      <c r="E150">
        <v>0</v>
      </c>
      <c r="F150">
        <v>0</v>
      </c>
      <c r="G150">
        <v>0</v>
      </c>
    </row>
    <row r="151" spans="1:7" x14ac:dyDescent="0.35">
      <c r="B151">
        <v>0.85099999999999998</v>
      </c>
      <c r="C151">
        <v>0</v>
      </c>
      <c r="D151">
        <v>0</v>
      </c>
      <c r="E151">
        <v>0</v>
      </c>
      <c r="F151">
        <v>0</v>
      </c>
      <c r="G151">
        <v>0</v>
      </c>
    </row>
    <row r="152" spans="1:7" x14ac:dyDescent="0.35">
      <c r="A152">
        <v>0.85</v>
      </c>
      <c r="B152">
        <v>0.85</v>
      </c>
      <c r="C152">
        <v>0</v>
      </c>
      <c r="D152">
        <v>0</v>
      </c>
      <c r="E152">
        <v>0</v>
      </c>
      <c r="F152">
        <v>0</v>
      </c>
      <c r="G15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10</vt:i4>
      </vt:variant>
    </vt:vector>
  </HeadingPairs>
  <TitlesOfParts>
    <vt:vector size="14" baseType="lpstr">
      <vt:lpstr>Instructions</vt:lpstr>
      <vt:lpstr>Model</vt:lpstr>
      <vt:lpstr>Parameter</vt:lpstr>
      <vt:lpstr>SimulationFit</vt:lpstr>
      <vt:lpstr>LOS</vt:lpstr>
      <vt:lpstr>LOS_Input</vt:lpstr>
      <vt:lpstr>rho_eff</vt:lpstr>
      <vt:lpstr>simulation_avg_delay</vt:lpstr>
      <vt:lpstr>simulation_max_delay</vt:lpstr>
      <vt:lpstr>simulation_peak_hour_delay</vt:lpstr>
      <vt:lpstr>simulation_percent_delayed</vt:lpstr>
      <vt:lpstr>simulation_progress</vt:lpstr>
      <vt:lpstr>simulation_waiting_1hr</vt:lpstr>
      <vt:lpstr>simulation_waiting_2hr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YH</dc:creator>
  <cp:lastModifiedBy>YH</cp:lastModifiedBy>
  <dcterms:created xsi:type="dcterms:W3CDTF">2017-06-29T21:46:40Z</dcterms:created>
  <dcterms:modified xsi:type="dcterms:W3CDTF">2021-01-31T00:51:28Z</dcterms:modified>
</cp:coreProperties>
</file>